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Z:\GIAAT COLABORATIVO\12. WEB - REDES\WEB. PLAMPROMIN S.A\"/>
    </mc:Choice>
  </mc:AlternateContent>
  <xr:revisionPtr revIDLastSave="0" documentId="13_ncr:1_{66CC092E-D4FB-479D-9BB4-D1CFEC9E1090}" xr6:coauthVersionLast="47" xr6:coauthVersionMax="47" xr10:uidLastSave="{00000000-0000-0000-0000-000000000000}"/>
  <bookViews>
    <workbookView xWindow="-38490" yWindow="-90" windowWidth="38580" windowHeight="21060" activeTab="1" xr2:uid="{00000000-000D-0000-FFFF-FFFF00000000}"/>
  </bookViews>
  <sheets>
    <sheet name="INSTRUCCIONES" sheetId="1" r:id="rId1"/>
    <sheet name="DATOS_GENERALES" sheetId="2" r:id="rId2"/>
    <sheet name="ESPECIFICACIONES" sheetId="3" r:id="rId3"/>
    <sheet name="SENSORES" sheetId="4" r:id="rId4"/>
    <sheet name="ZONAS_ESTABILIDAD" sheetId="5" r:id="rId5"/>
    <sheet name="PERFIL_SVG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2" l="1"/>
  <c r="E5" i="2"/>
  <c r="F5" i="2"/>
  <c r="G5" i="2"/>
  <c r="H5" i="2"/>
  <c r="I5" i="2"/>
  <c r="C5" i="2"/>
  <c r="D4" i="2"/>
  <c r="E4" i="2"/>
  <c r="F4" i="2"/>
  <c r="G4" i="2"/>
  <c r="H4" i="2"/>
  <c r="I4" i="2"/>
  <c r="C4" i="2"/>
</calcChain>
</file>

<file path=xl/sharedStrings.xml><?xml version="1.0" encoding="utf-8"?>
<sst xmlns="http://schemas.openxmlformats.org/spreadsheetml/2006/main" count="835" uniqueCount="466">
  <si>
    <t>FORMULARIO DE DATOS REALES — GESTIÓN DE RELAVERAS — PLANPROMIN</t>
  </si>
  <si>
    <t/>
  </si>
  <si>
    <t>OBJETIVO</t>
  </si>
  <si>
    <t>Este formulario contiene los datos actuales cargados en el sitio web para las 6 relaveras.</t>
  </si>
  <si>
    <t>El equipo de ingeniería debe revisar cada campo, corregir los valores inventados/estimados</t>
  </si>
  <si>
    <t>y completar los campos marcados con "???" que aún no tienen dato real.</t>
  </si>
  <si>
    <t>HOJAS DEL FORMULARIO</t>
  </si>
  <si>
    <t>1. INSTRUCCIONES        → Esta hoja</t>
  </si>
  <si>
    <t>2. DATOS_GENERALES      → Identificación, estado, FSD, altura, coordenadas, descripción</t>
  </si>
  <si>
    <t>3. ESPECIFICACIONES     → Cotas, volúmenes, áreas, suelos, impermeabilización</t>
  </si>
  <si>
    <t>4. SENSORES             → Sensores geotécnicos: tipo, valor actual, estado</t>
  </si>
  <si>
    <t>5. ZONAS_ESTABILIDAD    → FS por zona (pie/talud/corona) y variables geotécnicas</t>
  </si>
  <si>
    <t>6. PERFIL_SVG           → Datos del diagrama de sección transversal del dique</t>
  </si>
  <si>
    <t>CONVENCIONES DE COLOR</t>
  </si>
  <si>
    <t>Fondo AMARILLO claro</t>
  </si>
  <si>
    <t>→  Campo editable — rellene con el dato real</t>
  </si>
  <si>
    <t>Fondo GRIS</t>
  </si>
  <si>
    <t>→  Etiqueta del campo — no modificar</t>
  </si>
  <si>
    <t>Fondo NARANJA</t>
  </si>
  <si>
    <t>→  Encabezado de sección</t>
  </si>
  <si>
    <t>CAMPOS PRIORITARIOS A VERIFICAR</t>
  </si>
  <si>
    <t>• FSD (Factor de Seguridad de Diseño) — valor global de estabilidad del dique</t>
  </si>
  <si>
    <t>• Coordenadas UTM — verificar datum y zona correcta</t>
  </si>
  <si>
    <t>• Cotas (base, corona, máx. relave) — deben coincidir con los planos</t>
  </si>
  <si>
    <t>• Volúmenes (neto, dique, excavación) — deben coincidir con el estudio geotécnico</t>
  </si>
  <si>
    <t>• Sensores — validar IDs reales, tipo de instrumento y unidades</t>
  </si>
  <si>
    <t>• Zonas de estabilidad — FS por zona y variables geotécnicas (c', φ')</t>
  </si>
  <si>
    <t>• Perfil SVG — cotas que aparecen en el diagrama interactivo del sitio</t>
  </si>
  <si>
    <t>CAMPOS DE IMAGEN / ARCHIVOS</t>
  </si>
  <si>
    <t>Las imágenes se gestionan en Cloudinary. No es necesario incluir URLs en este formulario.</t>
  </si>
  <si>
    <t>Solo confirmar si existen imágenes reales disponibles para: galería, planos CAD, diagramas de estabilidad.</t>
  </si>
  <si>
    <t>ENTREGA</t>
  </si>
  <si>
    <t>Devolver el archivo con nombre: FORMULARIO_RELAVERAS_REVISADO_[FECHA].xlsx</t>
  </si>
  <si>
    <t>Cualquier campo sin dato real puede dejarse como "???" o en blanco.</t>
  </si>
  <si>
    <t>Fecha de solicitud: 2/6/2026</t>
  </si>
  <si>
    <t>DATOS GENERALES — Una columna por relavera</t>
  </si>
  <si>
    <t>CAMPO</t>
  </si>
  <si>
    <t>DESCRIPCIÓN / UNIDAD</t>
  </si>
  <si>
    <t>FDN-1</t>
  </si>
  <si>
    <t>MIRADOR</t>
  </si>
  <si>
    <t>IDENTIFICACIÓN</t>
  </si>
  <si>
    <t>ID del sistema</t>
  </si>
  <si>
    <t>Texto corto, sin espacios</t>
  </si>
  <si>
    <t>PONCE-SUR</t>
  </si>
  <si>
    <t>EL-SALTO</t>
  </si>
  <si>
    <t>PONCE-NORTE</t>
  </si>
  <si>
    <t>RIO-CHICO</t>
  </si>
  <si>
    <t>Nombre completo</t>
  </si>
  <si>
    <t>Nombre oficial de la relavera</t>
  </si>
  <si>
    <t>ESTADO OPERATIVO</t>
  </si>
  <si>
    <t>Estado (etiqueta)</t>
  </si>
  <si>
    <t>Ej: Reprocesamiento Activo / Monitoreo / Cierre Técnico / En Preparación</t>
  </si>
  <si>
    <t>Reprocesamiento Activo</t>
  </si>
  <si>
    <t>Monitoreo &amp; Estabilización</t>
  </si>
  <si>
    <t>Cierre Técnico &amp; Reforestación</t>
  </si>
  <si>
    <t>En Preparación</t>
  </si>
  <si>
    <t>Mitigación Ambiental Activa</t>
  </si>
  <si>
    <t>Color del estado</t>
  </si>
  <si>
    <t>VERDE / AMARILLO / AZUL / NARANJA / ROJO</t>
  </si>
  <si>
    <t>VERDE</t>
  </si>
  <si>
    <t>AMARILLO</t>
  </si>
  <si>
    <t>AZUL</t>
  </si>
  <si>
    <t>NARANJA</t>
  </si>
  <si>
    <t>PARÁMETROS GENERALES</t>
  </si>
  <si>
    <t>Capacidad total</t>
  </si>
  <si>
    <t>m³ — capacidad máxima de diseño</t>
  </si>
  <si>
    <t>320,000 m³</t>
  </si>
  <si>
    <t>180,000 m³</t>
  </si>
  <si>
    <t>240,000 m³</t>
  </si>
  <si>
    <t>150,000 m³</t>
  </si>
  <si>
    <t>200,000 m³</t>
  </si>
  <si>
    <t>110,000 m³</t>
  </si>
  <si>
    <t>Ocupación actual</t>
  </si>
  <si>
    <t>% — porcentaje ocupado actualmente</t>
  </si>
  <si>
    <t>78</t>
  </si>
  <si>
    <t>95</t>
  </si>
  <si>
    <t>100</t>
  </si>
  <si>
    <t>15</t>
  </si>
  <si>
    <t>88</t>
  </si>
  <si>
    <t>Año de construcción</t>
  </si>
  <si>
    <t>Año (ej: 2018)</t>
  </si>
  <si>
    <t>2018</t>
  </si>
  <si>
    <t>2021</t>
  </si>
  <si>
    <t>2012</t>
  </si>
  <si>
    <t>2025</t>
  </si>
  <si>
    <t>2013</t>
  </si>
  <si>
    <t>Recuperación de agua</t>
  </si>
  <si>
    <t>% o descripción (ej: 92% / Efluente Cero)</t>
  </si>
  <si>
    <t>92%</t>
  </si>
  <si>
    <t>88%</t>
  </si>
  <si>
    <t>95%</t>
  </si>
  <si>
    <t>100% (Efluente Cero)</t>
  </si>
  <si>
    <t>En fase de pruebas</t>
  </si>
  <si>
    <t>90%</t>
  </si>
  <si>
    <t>GEOTECNIA</t>
  </si>
  <si>
    <t>FSD — Factor Seg. Diseño</t>
  </si>
  <si>
    <t>Número decimal (ej: 1.65) — valor global del dique</t>
  </si>
  <si>
    <t>1.65</t>
  </si>
  <si>
    <t>1.58</t>
  </si>
  <si>
    <t>1.72</t>
  </si>
  <si>
    <t>1.85</t>
  </si>
  <si>
    <t>1.51</t>
  </si>
  <si>
    <t>Altura del dique</t>
  </si>
  <si>
    <t>Metros (ej: 30 metros)</t>
  </si>
  <si>
    <t>30 metros</t>
  </si>
  <si>
    <t>24 metros</t>
  </si>
  <si>
    <t>28 metros</t>
  </si>
  <si>
    <t>16 metros</t>
  </si>
  <si>
    <t>Tipo de presa</t>
  </si>
  <si>
    <t>Descripción constructiva del dique</t>
  </si>
  <si>
    <t>Presa de Tierra con Pantalla de Arcilla Homogénea</t>
  </si>
  <si>
    <t>Dique de Escollera con Núcleo de Arcilla Impermeable</t>
  </si>
  <si>
    <t>Presa Mixta (Tierra y Escollera) - Clausurada</t>
  </si>
  <si>
    <t>Presa de Grava con Núcleo Geosintético</t>
  </si>
  <si>
    <t>Presa de Tierra compactada con contrafuertes de escollera</t>
  </si>
  <si>
    <t>Geología cimiento</t>
  </si>
  <si>
    <t>Descripción del terreno de fundación</t>
  </si>
  <si>
    <t>Roca volcánica (Andesita) de alta compacidad y baja permeabilidad</t>
  </si>
  <si>
    <t>Coluvio denso sobre basamento basáltico competente</t>
  </si>
  <si>
    <t>Esquisto arcilloso meteorizado compactado</t>
  </si>
  <si>
    <t>Basamento rocoso sano y seco</t>
  </si>
  <si>
    <t>Aluvión consolidado de alta densidad</t>
  </si>
  <si>
    <t>Suelo limo-arcilloso consolidado</t>
  </si>
  <si>
    <t>UBICACIÓN</t>
  </si>
  <si>
    <t>Coordenadas UTM</t>
  </si>
  <si>
    <t>Formato: UTM 17S XXXXXXE YYYYYYY N</t>
  </si>
  <si>
    <t>UTM 17S 634500E 9642100N</t>
  </si>
  <si>
    <t>UTM 17S 634200E 9641800N</t>
  </si>
  <si>
    <t>UTM 17S 635100E 9642900N</t>
  </si>
  <si>
    <t>UTM 17S 633900E 9641500N</t>
  </si>
  <si>
    <t>UTM 17S 634900E 9642300N</t>
  </si>
  <si>
    <t>DESCRIPCIÓN TÉCNICA</t>
  </si>
  <si>
    <t>Tecnología aplicada</t>
  </si>
  <si>
    <t>Descripción de los sistemas de control e impermeabilización (máx. 3 líneas)</t>
  </si>
  <si>
    <t>Geomembrana de HDPE de 2.0 mm de doble textura, piezómetros automáticos de cuerda vibrante y canalización de lixiviados en circuito cerrado.</t>
  </si>
  <si>
    <t>Barreras geodrenantes tridimensionales, control sísmico acelerográfico en tiempo real e impermeabilización por arcillas compactadas.</t>
  </si>
  <si>
    <t>Drenes de chimenea de grava fina, inclinómetros digitales para registrar deformación angular y sensores de nivel freático.</t>
  </si>
  <si>
    <t>Cobertura multicapa sellada (suelo orgánico, geotextil, arcilla de sellado) con canales de coronación perimetrales de hormigón.</t>
  </si>
  <si>
    <t>Contención lateral de grava compactada, geomembranas de bentonita de sodio auto-sellantes y sistema SCADA en fibra óptica.</t>
  </si>
  <si>
    <t>Filtros de carbón activo en serie y neutralización alcalina en cascada para tratamiento preventivo de drenaje ácido de roca.</t>
  </si>
  <si>
    <t>Proceso operativo</t>
  </si>
  <si>
    <t>Descripción del proceso actual de la relavera (máx. 3 líneas)</t>
  </si>
  <si>
    <t>Recepción directa de lodos finos de la planta de beneficio y extracción de oro residual fino mediante flotación de colas y agitación química en reactores.</t>
  </si>
  <si>
    <t>Centrado en el lavado, clasificación granulométrica y recuperación secundaria de arenas gruesas con contenidos auríferos históricos del cantón.</t>
  </si>
  <si>
    <t>Actualmente en reposo para consolidación física del material (disipación de presiones) previo al inicio del reprocesamiento masivo.</t>
  </si>
  <si>
    <t>Fase de fitorremediación y siembra de especies endémicas locales para la restauración ecológica y estabilización biológica definitiva.</t>
  </si>
  <si>
    <t>Adecuación de bombas y tuberías de transporte de lodos para recibir material de relave disperso de la región para centralización.</t>
  </si>
  <si>
    <t>Tratamiento activo y deshidratación de relaves antiguos expuestos a la intemperie por operaciones de terceros no controladas en el pasado.</t>
  </si>
  <si>
    <t>ESPECIFICACIONES TÉCNICAS DEL DIQUE — Una columna por relavera</t>
  </si>
  <si>
    <t>COTAS Y GEOMETRÍA</t>
  </si>
  <si>
    <t>Nivel Base Relavera</t>
  </si>
  <si>
    <t>Cota base del vaso (msnm)</t>
  </si>
  <si>
    <t>100.0 msnm</t>
  </si>
  <si>
    <t>Corona del Dique</t>
  </si>
  <si>
    <t>Cota de coronamiento del dique (m)</t>
  </si>
  <si>
    <t>130.0 m</t>
  </si>
  <si>
    <t>124.0 m</t>
  </si>
  <si>
    <t>118.0 m</t>
  </si>
  <si>
    <t>128.0 m</t>
  </si>
  <si>
    <t>116.0 m</t>
  </si>
  <si>
    <t>Máx. Llenado Relave</t>
  </si>
  <si>
    <t>Cota máxima del relave almacenado (m)</t>
  </si>
  <si>
    <t>127.00 m</t>
  </si>
  <si>
    <t>121.50 m</t>
  </si>
  <si>
    <t>115.50 m</t>
  </si>
  <si>
    <t>125.00 m</t>
  </si>
  <si>
    <t>113.80 m</t>
  </si>
  <si>
    <t>Ancho Coronamiento</t>
  </si>
  <si>
    <t>Ancho de la corona del dique (m)</t>
  </si>
  <si>
    <t>5.00 m</t>
  </si>
  <si>
    <t>4.50 m</t>
  </si>
  <si>
    <t>4.00 m</t>
  </si>
  <si>
    <t>6.00 m</t>
  </si>
  <si>
    <t>Borde Libre (Seguridad)</t>
  </si>
  <si>
    <t>Distancia entre MWL y corona (m)</t>
  </si>
  <si>
    <t>2.00 m</t>
  </si>
  <si>
    <t>2.50 m</t>
  </si>
  <si>
    <t>3.00 m</t>
  </si>
  <si>
    <t>2.20 m</t>
  </si>
  <si>
    <t>Talud Aguas Abajo</t>
  </si>
  <si>
    <t>Pendiente aguas abajo (ej: 1V:2H)</t>
  </si>
  <si>
    <t>1V:2H</t>
  </si>
  <si>
    <t>1V:2.2H</t>
  </si>
  <si>
    <t>1V:2.5H</t>
  </si>
  <si>
    <t>CAPACIDAD Y VOLÚMENES</t>
  </si>
  <si>
    <t>Almacenamiento Neto</t>
  </si>
  <si>
    <t>Volumen útil del vaso (m³)</t>
  </si>
  <si>
    <t>322,041.84 m³</t>
  </si>
  <si>
    <t>181,148.54 m³</t>
  </si>
  <si>
    <t>201,276.15 m³</t>
  </si>
  <si>
    <t>110,707.88 m³</t>
  </si>
  <si>
    <t>Capacidad en Peso</t>
  </si>
  <si>
    <t>Toneladas de relave almacenables</t>
  </si>
  <si>
    <t>708,492.05 Ton</t>
  </si>
  <si>
    <t>398,526.78 Ton</t>
  </si>
  <si>
    <t>332,105.65 Ton</t>
  </si>
  <si>
    <t>442,807.53 Ton</t>
  </si>
  <si>
    <t>243,557.34 Ton</t>
  </si>
  <si>
    <t>Densidad Relave Seco</t>
  </si>
  <si>
    <t>Densidad seca del relave (g/cm³)</t>
  </si>
  <si>
    <t>2.2 g/cm³</t>
  </si>
  <si>
    <t>Área Vaso Superior</t>
  </si>
  <si>
    <t>Superficie de la boca del vaso (m²)</t>
  </si>
  <si>
    <t>24,014.65 m²</t>
  </si>
  <si>
    <t>13,500.00 m²</t>
  </si>
  <si>
    <t>11,250.00 m²</t>
  </si>
  <si>
    <t>15,009.15 m²</t>
  </si>
  <si>
    <t>8,255.03 m²</t>
  </si>
  <si>
    <t>Área Vaso Inferior</t>
  </si>
  <si>
    <t>Superficie del fondo del vaso (m²)</t>
  </si>
  <si>
    <t>3,119.50 m²</t>
  </si>
  <si>
    <t>1,750.00 m²</t>
  </si>
  <si>
    <t>1,460.00 m²</t>
  </si>
  <si>
    <t>1,949.68 m²</t>
  </si>
  <si>
    <t>1,072.32 m²</t>
  </si>
  <si>
    <t>Volumen Material Dique</t>
  </si>
  <si>
    <t>Material compactado en el dique (m³)</t>
  </si>
  <si>
    <t>336,772.91 m³</t>
  </si>
  <si>
    <t>189,450.00 m³</t>
  </si>
  <si>
    <t>157,860.00 m³</t>
  </si>
  <si>
    <t>210,483.07 m³</t>
  </si>
  <si>
    <t>115,770.69 m³</t>
  </si>
  <si>
    <t>Excavación Vaso</t>
  </si>
  <si>
    <t>Volumen excavado para el vaso (m³)</t>
  </si>
  <si>
    <t>335,545.78 m³</t>
  </si>
  <si>
    <t>188,750.00 m³</t>
  </si>
  <si>
    <t>157,290.00 m³</t>
  </si>
  <si>
    <t>209,716.11 m³</t>
  </si>
  <si>
    <t>115,348.97 m³</t>
  </si>
  <si>
    <t>REVESTIMIENTO E IMPERMEABILIZACIÓN</t>
  </si>
  <si>
    <t>Tipo de Revestimiento</t>
  </si>
  <si>
    <t>Descripción del sistema impermeabilizante</t>
  </si>
  <si>
    <t>Geomembrana HDPE 2.00 mm</t>
  </si>
  <si>
    <t>Arcilla compactada y Geodrenes</t>
  </si>
  <si>
    <t>Geomembrana GCL (Bentonita)</t>
  </si>
  <si>
    <t>Geomembrana de PVC 1.50 mm</t>
  </si>
  <si>
    <t>Impermeabiliz. Vaso Interior</t>
  </si>
  <si>
    <t>Área de geomembrana interior (m²)</t>
  </si>
  <si>
    <t>31,096.55 m²</t>
  </si>
  <si>
    <t>17,490.00 m²</t>
  </si>
  <si>
    <t>14,570.00 m²</t>
  </si>
  <si>
    <t>19,435.35 m²</t>
  </si>
  <si>
    <t>10,689.87 m²</t>
  </si>
  <si>
    <t>Impermeabiliz. Taludes/Dique</t>
  </si>
  <si>
    <t>Área de geomembrana exterior (m²)</t>
  </si>
  <si>
    <t>33,738.23 m²</t>
  </si>
  <si>
    <t>18,970.00 m²</t>
  </si>
  <si>
    <t>15,810.00 m²</t>
  </si>
  <si>
    <t>21,086.40 m²</t>
  </si>
  <si>
    <t>11,598.63 m²</t>
  </si>
  <si>
    <t>Clasificación del Suelo</t>
  </si>
  <si>
    <t>SUCS del material del dique</t>
  </si>
  <si>
    <t>Limos orgánicos, ML y MH</t>
  </si>
  <si>
    <t>Gravas arcillosas, GC y SC</t>
  </si>
  <si>
    <t>Arenas limosas y Arcillas magras, SM y CL</t>
  </si>
  <si>
    <t>Limos y arcillas inorgánicas, CL y ML</t>
  </si>
  <si>
    <t>INSTRUMENTACIÓN GEOTÉCNICA — Un sensor por fila</t>
  </si>
  <si>
    <t>RELAVERA</t>
  </si>
  <si>
    <t>ID Sensor</t>
  </si>
  <si>
    <t>Nombre Completo</t>
  </si>
  <si>
    <t>Tipo</t>
  </si>
  <si>
    <t>Valor Actual (con unidad)</t>
  </si>
  <si>
    <t>Estado</t>
  </si>
  <si>
    <t>Notas / Observaciones</t>
  </si>
  <si>
    <t>¿Está activo?</t>
  </si>
  <si>
    <t>PZ-01</t>
  </si>
  <si>
    <t>Piezómetro PZ-01 (Núcleo)</t>
  </si>
  <si>
    <t>piezometro</t>
  </si>
  <si>
    <t>24.3 kPa</t>
  </si>
  <si>
    <t>normal</t>
  </si>
  <si>
    <t>SÍ</t>
  </si>
  <si>
    <t>PZ-02</t>
  </si>
  <si>
    <t>Piezómetro PZ-02 (Cimiento)</t>
  </si>
  <si>
    <t>28.1 kPa</t>
  </si>
  <si>
    <t>INC-01</t>
  </si>
  <si>
    <t>Inclinómetro INC-01 (Talud)</t>
  </si>
  <si>
    <t>inclinometro</t>
  </si>
  <si>
    <t>0.12 mm</t>
  </si>
  <si>
    <t>D-01</t>
  </si>
  <si>
    <t>Medidor de Drenaje D-01</t>
  </si>
  <si>
    <t>drenaje</t>
  </si>
  <si>
    <t>0.85 L/s</t>
  </si>
  <si>
    <t>(opcional)</t>
  </si>
  <si>
    <t>FDN-1 — sensor adicional</t>
  </si>
  <si>
    <t>piezometro | inclinometro | drenaje | acelerometro</t>
  </si>
  <si>
    <t>normal | alerta | inactivo</t>
  </si>
  <si>
    <t>PZ-03</t>
  </si>
  <si>
    <t>Piezómetro PZ-03 (Núcleo)</t>
  </si>
  <si>
    <t>18.5 kPa</t>
  </si>
  <si>
    <t>INC-02</t>
  </si>
  <si>
    <t>Inclinómetro INC-02 (Coronación)</t>
  </si>
  <si>
    <t>0.05 mm</t>
  </si>
  <si>
    <t>ACEL-01</t>
  </si>
  <si>
    <t>Sismógrafo Acel-01</t>
  </si>
  <si>
    <t>acelerometro</t>
  </si>
  <si>
    <t>0.002g</t>
  </si>
  <si>
    <t>D-02</t>
  </si>
  <si>
    <t>Medidor de Drenaje D-02</t>
  </si>
  <si>
    <t>0.45 L/s</t>
  </si>
  <si>
    <t>PONCE-SUR — sensor adicional</t>
  </si>
  <si>
    <t>PZ-04</t>
  </si>
  <si>
    <t>Piezómetro PZ-04 (Núcleo)</t>
  </si>
  <si>
    <t>42.1 kPa</t>
  </si>
  <si>
    <t>alerta</t>
  </si>
  <si>
    <t>PZ-05</t>
  </si>
  <si>
    <t>Piezómetro PZ-05 (Filtro)</t>
  </si>
  <si>
    <t>45.3 kPa</t>
  </si>
  <si>
    <t>INC-03</t>
  </si>
  <si>
    <t>Inclinómetro INC-03 (Talud)</t>
  </si>
  <si>
    <t>0.88 mm</t>
  </si>
  <si>
    <t>D-03</t>
  </si>
  <si>
    <t>Medidor de Drenaje D-03</t>
  </si>
  <si>
    <t>1.90 L/s</t>
  </si>
  <si>
    <t>EL-SALTO — sensor adicional</t>
  </si>
  <si>
    <t>PZ-06</t>
  </si>
  <si>
    <t>Piezómetro PZ-06 (Seco)</t>
  </si>
  <si>
    <t>5.2 kPa</t>
  </si>
  <si>
    <t>inactivo</t>
  </si>
  <si>
    <t>INC-04</t>
  </si>
  <si>
    <t>Inclinómetro INC-04 (Estable)</t>
  </si>
  <si>
    <t>0.01 mm</t>
  </si>
  <si>
    <t>D-04</t>
  </si>
  <si>
    <t>Dren Principal D-04</t>
  </si>
  <si>
    <t>0.05 L/s</t>
  </si>
  <si>
    <t>MIRADOR — sensor adicional</t>
  </si>
  <si>
    <t>PZ-07</t>
  </si>
  <si>
    <t>Piezómetro PZ-07</t>
  </si>
  <si>
    <t>0.0 kPa</t>
  </si>
  <si>
    <t>INC-05</t>
  </si>
  <si>
    <t>Inclinómetro INC-05</t>
  </si>
  <si>
    <t>0.00 mm</t>
  </si>
  <si>
    <t>D-05</t>
  </si>
  <si>
    <t>Medidor de Drenaje D-05</t>
  </si>
  <si>
    <t>0.00 L/s</t>
  </si>
  <si>
    <t>PONCE-NORTE — sensor adicional</t>
  </si>
  <si>
    <t>PZ-08</t>
  </si>
  <si>
    <t>Piezómetro PZ-08</t>
  </si>
  <si>
    <t>33.2 kPa</t>
  </si>
  <si>
    <t>INC-06</t>
  </si>
  <si>
    <t>Inclinómetro INC-06</t>
  </si>
  <si>
    <t>0.24 mm</t>
  </si>
  <si>
    <t>D-06</t>
  </si>
  <si>
    <t>Medidor de Drenaje D-06</t>
  </si>
  <si>
    <t>1.15 L/s</t>
  </si>
  <si>
    <t>RIO-CHICO — sensor adicional</t>
  </si>
  <si>
    <t>TIPOS VÁLIDOS:</t>
  </si>
  <si>
    <t>ESTADOS VÁLIDOS:</t>
  </si>
  <si>
    <t>ANÁLISIS DE ESTABILIDAD DE TALUDES — PIE / TALUD MEDIO / CORONA</t>
  </si>
  <si>
    <t>ZONA: PIE DEL DIQUE</t>
  </si>
  <si>
    <t>Descripción del campo</t>
  </si>
  <si>
    <t>FS Pie</t>
  </si>
  <si>
    <t>Factor de seguridad del pie (número)</t>
  </si>
  <si>
    <t>1.52</t>
  </si>
  <si>
    <t>1.45</t>
  </si>
  <si>
    <t>1.7</t>
  </si>
  <si>
    <t>1.39</t>
  </si>
  <si>
    <t>Capacidad Admisible</t>
  </si>
  <si>
    <t>Capacidad del terreno de fundación (kPa)</t>
  </si>
  <si>
    <t>450 kPa</t>
  </si>
  <si>
    <t>??? kPa</t>
  </si>
  <si>
    <t>Cohesión c'</t>
  </si>
  <si>
    <t>Cohesión efectiva del suelo (kN/m²)</t>
  </si>
  <si>
    <t>23 kN/m²</t>
  </si>
  <si>
    <t>??? kN/m²</t>
  </si>
  <si>
    <t>Ángulo de Fricción φ'</t>
  </si>
  <si>
    <t>Fricción interna efectiva (°)</t>
  </si>
  <si>
    <t>31°</t>
  </si>
  <si>
    <t>???°</t>
  </si>
  <si>
    <t>Tipo de Drenaje</t>
  </si>
  <si>
    <t>Sistema de drenaje del pie</t>
  </si>
  <si>
    <t>Espina de Pez</t>
  </si>
  <si>
    <t>???</t>
  </si>
  <si>
    <t>Tubería Colectora</t>
  </si>
  <si>
    <t>Material/tipo de la tubería de drenaje</t>
  </si>
  <si>
    <t>Microperforada con Grava</t>
  </si>
  <si>
    <t>ZONA: TALUD MEDIO</t>
  </si>
  <si>
    <t>FS Talud Medio</t>
  </si>
  <si>
    <t>Factor de seguridad del talud (número)</t>
  </si>
  <si>
    <t>Pendiente Aguas Arriba</t>
  </si>
  <si>
    <t>Ej: 1H:1V (con tipo de revestimiento)</t>
  </si>
  <si>
    <t>1H:1V (Geomembrana HDPE)</t>
  </si>
  <si>
    <t>Pendiente Aguas Abajo</t>
  </si>
  <si>
    <t>Ej: 2H:1V (con especificación bermas)</t>
  </si>
  <si>
    <t>2H:1V (Bermas 3m c/15m)</t>
  </si>
  <si>
    <t>Densidad Seca Relave</t>
  </si>
  <si>
    <t>Densidad seca del material (g/cm³)</t>
  </si>
  <si>
    <t>ZONA: CORONA DEL DIQUE</t>
  </si>
  <si>
    <t>FS Corona</t>
  </si>
  <si>
    <t>Factor de seguridad de la corona (número)</t>
  </si>
  <si>
    <t>1.78</t>
  </si>
  <si>
    <t>1.71</t>
  </si>
  <si>
    <t>1.86</t>
  </si>
  <si>
    <t>2</t>
  </si>
  <si>
    <t>1.63</t>
  </si>
  <si>
    <t>Cota Máxima Corona</t>
  </si>
  <si>
    <t>Elevación de la corona (msnm)</t>
  </si>
  <si>
    <t>138 msnm</t>
  </si>
  <si>
    <t>??? msnm</t>
  </si>
  <si>
    <t>Ancho de la Corona</t>
  </si>
  <si>
    <t>Ancho de coronamiento (m)</t>
  </si>
  <si>
    <t>5 m</t>
  </si>
  <si>
    <t>Borde Libre</t>
  </si>
  <si>
    <t>Freeboard entre MWL y corona (m)</t>
  </si>
  <si>
    <t>2 m</t>
  </si>
  <si>
    <t>ESCALA FS:</t>
  </si>
  <si>
    <t>≥ 1.50 → SEGURO (verde) | 1.00–1.49 → ACEPTABLE (amarillo) | &lt; 1.00 → CRÍTICO (rojo)</t>
  </si>
  <si>
    <t>NORMA MÍN:</t>
  </si>
  <si>
    <t>FS ≥ 1.00 (estático) | FS ≥ 1.05 (dinámico/sísmico)</t>
  </si>
  <si>
    <t>DATOS DEL PERFIL TRANSVERSAL — Diagrama SVG interactivo del sitio</t>
  </si>
  <si>
    <t>CAMPO EN EL DIAGRAMA</t>
  </si>
  <si>
    <t>¿Dónde aparece? / Descripción</t>
  </si>
  <si>
    <t>Cota Corona del Dique</t>
  </si>
  <si>
    <t>Etiqueta superior: "Corona de Dique: X m"</t>
  </si>
  <si>
    <t>140 m</t>
  </si>
  <si>
    <t>Nivel Máximo de Relave</t>
  </si>
  <si>
    <t>Etiqueta línea de agua: "Nivel Máximo de Relave: X m"</t>
  </si>
  <si>
    <t>136 m</t>
  </si>
  <si>
    <t>Cota Fondo del Vaso</t>
  </si>
  <si>
    <t>Etiqueta inferior: "Fondo: X m"</t>
  </si>
  <si>
    <t>110 m</t>
  </si>
  <si>
    <t>Texto en el talud izquierdo del SVG (ej: 1H:1V)</t>
  </si>
  <si>
    <t>1H:1V</t>
  </si>
  <si>
    <t>Texto en el talud derecho del SVG (ej: 2H:1V)</t>
  </si>
  <si>
    <t>2H:1V</t>
  </si>
  <si>
    <t>Superficie Total Proyecto</t>
  </si>
  <si>
    <t>Texto en descripción técnica (ej: 3.7644 ha)</t>
  </si>
  <si>
    <t>3.7644 ha</t>
  </si>
  <si>
    <t>TEXTO DESCRIPTIVO DEL PROYECTO (Panel de contexto técnico)</t>
  </si>
  <si>
    <t>Superficie del proyecto</t>
  </si>
  <si>
    <t>Hectáreas del área útil (ej: 3.7644 ha)</t>
  </si>
  <si>
    <t>Altura máx. talud interno</t>
  </si>
  <si>
    <t>Altura máxima del talud en flanco Sur (m)</t>
  </si>
  <si>
    <t>Inclinación talud interno</t>
  </si>
  <si>
    <t>Ángulo del talud Sur-SurEste (°)</t>
  </si>
  <si>
    <t>45°</t>
  </si>
  <si>
    <t>Material del dique</t>
  </si>
  <si>
    <t>Material principal: arcilla / escoria / grava / mixto</t>
  </si>
  <si>
    <t>Arcilla + Escombrera de mina</t>
  </si>
  <si>
    <t>FS zona más crítica (global)</t>
  </si>
  <si>
    <t>Valor del análisis: "Fs = X.XXX" — zona Este</t>
  </si>
  <si>
    <t>1.386</t>
  </si>
  <si>
    <t>Relavera #7</t>
  </si>
  <si>
    <t>RELAVERA 5</t>
  </si>
  <si>
    <t>RELAVERA 6</t>
  </si>
  <si>
    <t>RELAVERA 4</t>
  </si>
  <si>
    <t>RELAVERA 1</t>
  </si>
  <si>
    <t>RELAVERA 2</t>
  </si>
  <si>
    <t>RELAVERA 3</t>
  </si>
  <si>
    <t>140371,51 m³</t>
  </si>
  <si>
    <t>20 metros</t>
  </si>
  <si>
    <t>3.29</t>
  </si>
  <si>
    <t>Zanja de desvío con geomembrana + muro de gaviones + relleno granular</t>
  </si>
  <si>
    <t xml:space="preserve">UTM 17S 645590 E, 9668141 N, 142 msnm </t>
  </si>
  <si>
    <t>52 (altura de analisis)</t>
  </si>
  <si>
    <t>MH; AASHTO A-7-5</t>
  </si>
  <si>
    <t>32°</t>
  </si>
  <si>
    <t>Limo arcilloso café amarillento, Limo arcilloso café rojizo con pintas blancas</t>
  </si>
  <si>
    <t>201,276.15 m130</t>
  </si>
  <si>
    <t>2.2 g/cm130</t>
  </si>
  <si>
    <t>15,009.15 m129</t>
  </si>
  <si>
    <t>1,949.68 m129</t>
  </si>
  <si>
    <t>210,483.07 m130</t>
  </si>
  <si>
    <t>209,716.11 m130</t>
  </si>
  <si>
    <t>19,435.35 m129</t>
  </si>
  <si>
    <t>21,086.40 m129</t>
  </si>
  <si>
    <t>196,13 kPa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</si>
</sst>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2"/>
      <color rgb="FF0070C0"/>
      <name val="Calibri"/>
      <family val="2"/>
      <scheme val="minor"/>
    </font>
    <font>
      <sz val="12"/>
      <color rgb="FF92D05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C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0" fillId="2" borderId="0" xfId="0" applyFill="1"/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1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0" fillId="0" borderId="0" xfId="0" applyFill="1" applyAlignment="1">
      <alignment vertical="center"/>
    </xf>
    <xf numFmtId="0" fontId="0" fillId="0" borderId="0" xfId="0" applyFill="1"/>
    <xf numFmtId="0" fontId="4" fillId="0" borderId="0" xfId="0" applyFont="1" applyFill="1" applyAlignment="1">
      <alignment vertical="center"/>
    </xf>
    <xf numFmtId="0" fontId="4" fillId="0" borderId="0" xfId="0" applyFont="1" applyFill="1"/>
    <xf numFmtId="0" fontId="1" fillId="0" borderId="0" xfId="0" applyFont="1" applyFill="1" applyAlignment="1">
      <alignment vertical="center"/>
    </xf>
    <xf numFmtId="0" fontId="1" fillId="0" borderId="0" xfId="0" applyFont="1" applyFill="1"/>
    <xf numFmtId="0" fontId="0" fillId="3" borderId="0" xfId="0" applyFill="1" applyAlignment="1">
      <alignment horizontal="left" vertical="center"/>
    </xf>
    <xf numFmtId="0" fontId="0" fillId="3" borderId="0" xfId="0" applyFill="1" applyAlignment="1">
      <alignment vertical="center"/>
    </xf>
    <xf numFmtId="0" fontId="0" fillId="4" borderId="0" xfId="0" applyFill="1"/>
    <xf numFmtId="0" fontId="0" fillId="3" borderId="0" xfId="0" applyFill="1"/>
    <xf numFmtId="0" fontId="0" fillId="4" borderId="0" xfId="0" applyFill="1" applyAlignment="1">
      <alignment vertical="center"/>
    </xf>
    <xf numFmtId="0" fontId="5" fillId="3" borderId="0" xfId="0" applyFont="1" applyFill="1"/>
    <xf numFmtId="0" fontId="0" fillId="5" borderId="0" xfId="0" applyFill="1"/>
    <xf numFmtId="0" fontId="5" fillId="3" borderId="0" xfId="0" applyFont="1" applyFill="1" applyAlignment="1">
      <alignment horizontal="left"/>
    </xf>
    <xf numFmtId="0" fontId="0" fillId="3" borderId="0" xfId="0" applyFill="1" applyAlignment="1">
      <alignment horizontal="left"/>
    </xf>
    <xf numFmtId="0" fontId="0" fillId="6" borderId="0" xfId="0" applyFill="1" applyAlignment="1">
      <alignment horizontal="center" vertical="center"/>
    </xf>
    <xf numFmtId="0" fontId="0" fillId="6" borderId="0" xfId="0" applyFill="1"/>
    <xf numFmtId="0" fontId="5" fillId="6" borderId="0" xfId="0" applyFont="1" applyFill="1"/>
    <xf numFmtId="0" fontId="7" fillId="0" borderId="0" xfId="0" applyFont="1" applyAlignment="1">
      <alignment horizontal="left" vertical="center"/>
    </xf>
    <xf numFmtId="0" fontId="4" fillId="0" borderId="0" xfId="0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7"/>
  <sheetViews>
    <sheetView workbookViewId="0">
      <selection activeCell="A36" sqref="A36"/>
    </sheetView>
  </sheetViews>
  <sheetFormatPr baseColWidth="10" defaultRowHeight="15.6" x14ac:dyDescent="0.3"/>
  <cols>
    <col min="1" max="1" width="53.296875" customWidth="1"/>
    <col min="2" max="2" width="83.296875" customWidth="1"/>
  </cols>
  <sheetData>
    <row r="1" spans="1:1" ht="19.95" customHeight="1" x14ac:dyDescent="0.3">
      <c r="A1" t="s">
        <v>0</v>
      </c>
    </row>
    <row r="2" spans="1:1" ht="19.95" customHeight="1" x14ac:dyDescent="0.3">
      <c r="A2" t="s">
        <v>1</v>
      </c>
    </row>
    <row r="3" spans="1:1" ht="19.95" customHeight="1" x14ac:dyDescent="0.3">
      <c r="A3" t="s">
        <v>2</v>
      </c>
    </row>
    <row r="4" spans="1:1" ht="19.95" customHeight="1" x14ac:dyDescent="0.3">
      <c r="A4" t="s">
        <v>3</v>
      </c>
    </row>
    <row r="5" spans="1:1" ht="19.95" customHeight="1" x14ac:dyDescent="0.3">
      <c r="A5" t="s">
        <v>4</v>
      </c>
    </row>
    <row r="6" spans="1:1" ht="19.95" customHeight="1" x14ac:dyDescent="0.3">
      <c r="A6" t="s">
        <v>5</v>
      </c>
    </row>
    <row r="7" spans="1:1" ht="19.95" customHeight="1" x14ac:dyDescent="0.3">
      <c r="A7" t="s">
        <v>1</v>
      </c>
    </row>
    <row r="8" spans="1:1" ht="19.95" customHeight="1" x14ac:dyDescent="0.3">
      <c r="A8" t="s">
        <v>6</v>
      </c>
    </row>
    <row r="9" spans="1:1" ht="19.95" customHeight="1" x14ac:dyDescent="0.3">
      <c r="A9" t="s">
        <v>7</v>
      </c>
    </row>
    <row r="10" spans="1:1" ht="19.95" customHeight="1" x14ac:dyDescent="0.3">
      <c r="A10" t="s">
        <v>8</v>
      </c>
    </row>
    <row r="11" spans="1:1" ht="19.95" customHeight="1" x14ac:dyDescent="0.3">
      <c r="A11" t="s">
        <v>9</v>
      </c>
    </row>
    <row r="12" spans="1:1" ht="19.95" customHeight="1" x14ac:dyDescent="0.3">
      <c r="A12" t="s">
        <v>10</v>
      </c>
    </row>
    <row r="13" spans="1:1" ht="19.95" customHeight="1" x14ac:dyDescent="0.3">
      <c r="A13" t="s">
        <v>11</v>
      </c>
    </row>
    <row r="14" spans="1:1" ht="19.95" customHeight="1" x14ac:dyDescent="0.3">
      <c r="A14" t="s">
        <v>12</v>
      </c>
    </row>
    <row r="15" spans="1:1" ht="19.95" customHeight="1" x14ac:dyDescent="0.3">
      <c r="A15" t="s">
        <v>1</v>
      </c>
    </row>
    <row r="16" spans="1:1" ht="19.95" customHeight="1" x14ac:dyDescent="0.3">
      <c r="A16" t="s">
        <v>13</v>
      </c>
    </row>
    <row r="17" spans="1:2" ht="19.95" customHeight="1" x14ac:dyDescent="0.3">
      <c r="A17" t="s">
        <v>14</v>
      </c>
      <c r="B17" t="s">
        <v>15</v>
      </c>
    </row>
    <row r="18" spans="1:2" ht="19.95" customHeight="1" x14ac:dyDescent="0.3">
      <c r="A18" t="s">
        <v>16</v>
      </c>
      <c r="B18" t="s">
        <v>17</v>
      </c>
    </row>
    <row r="19" spans="1:2" ht="19.95" customHeight="1" x14ac:dyDescent="0.3">
      <c r="A19" t="s">
        <v>18</v>
      </c>
      <c r="B19" t="s">
        <v>19</v>
      </c>
    </row>
    <row r="20" spans="1:2" ht="19.95" customHeight="1" x14ac:dyDescent="0.3">
      <c r="A20" t="s">
        <v>1</v>
      </c>
    </row>
    <row r="21" spans="1:2" ht="19.95" customHeight="1" x14ac:dyDescent="0.3">
      <c r="A21" t="s">
        <v>20</v>
      </c>
    </row>
    <row r="22" spans="1:2" ht="19.95" customHeight="1" x14ac:dyDescent="0.3">
      <c r="A22" t="s">
        <v>21</v>
      </c>
    </row>
    <row r="23" spans="1:2" ht="19.95" customHeight="1" x14ac:dyDescent="0.3">
      <c r="A23" t="s">
        <v>22</v>
      </c>
    </row>
    <row r="24" spans="1:2" ht="19.95" customHeight="1" x14ac:dyDescent="0.3">
      <c r="A24" t="s">
        <v>23</v>
      </c>
    </row>
    <row r="25" spans="1:2" ht="19.95" customHeight="1" x14ac:dyDescent="0.3">
      <c r="A25" t="s">
        <v>24</v>
      </c>
    </row>
    <row r="26" spans="1:2" ht="19.95" customHeight="1" x14ac:dyDescent="0.3">
      <c r="A26" t="s">
        <v>25</v>
      </c>
    </row>
    <row r="27" spans="1:2" ht="19.95" customHeight="1" x14ac:dyDescent="0.3">
      <c r="A27" t="s">
        <v>26</v>
      </c>
    </row>
    <row r="28" spans="1:2" ht="19.95" customHeight="1" x14ac:dyDescent="0.3">
      <c r="A28" t="s">
        <v>27</v>
      </c>
    </row>
    <row r="29" spans="1:2" ht="19.95" customHeight="1" x14ac:dyDescent="0.3">
      <c r="A29" t="s">
        <v>1</v>
      </c>
    </row>
    <row r="30" spans="1:2" ht="19.95" customHeight="1" x14ac:dyDescent="0.3">
      <c r="A30" t="s">
        <v>28</v>
      </c>
    </row>
    <row r="31" spans="1:2" ht="19.95" customHeight="1" x14ac:dyDescent="0.3">
      <c r="A31" t="s">
        <v>29</v>
      </c>
    </row>
    <row r="32" spans="1:2" ht="19.95" customHeight="1" x14ac:dyDescent="0.3">
      <c r="A32" t="s">
        <v>30</v>
      </c>
    </row>
    <row r="33" spans="1:1" ht="19.95" customHeight="1" x14ac:dyDescent="0.3">
      <c r="A33" t="s">
        <v>1</v>
      </c>
    </row>
    <row r="34" spans="1:1" ht="19.95" customHeight="1" x14ac:dyDescent="0.3">
      <c r="A34" t="s">
        <v>31</v>
      </c>
    </row>
    <row r="35" spans="1:1" ht="19.95" customHeight="1" x14ac:dyDescent="0.3">
      <c r="A35" t="s">
        <v>32</v>
      </c>
    </row>
    <row r="36" spans="1:1" ht="19.95" customHeight="1" x14ac:dyDescent="0.3">
      <c r="A36" t="s">
        <v>33</v>
      </c>
    </row>
    <row r="37" spans="1:1" ht="19.95" customHeight="1" x14ac:dyDescent="0.3">
      <c r="A37" t="s">
        <v>34</v>
      </c>
    </row>
  </sheetData>
  <pageMargins left="0.7" right="0.7" top="0.75" bottom="0.75" header="0.3" footer="0.3"/>
  <ignoredErrors>
    <ignoredError sqref="A1:B37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23"/>
  <sheetViews>
    <sheetView tabSelected="1" zoomScale="115" zoomScaleNormal="115" workbookViewId="0">
      <selection activeCell="G30" sqref="G30"/>
    </sheetView>
  </sheetViews>
  <sheetFormatPr baseColWidth="10" defaultRowHeight="15.6" x14ac:dyDescent="0.3"/>
  <cols>
    <col min="1" max="1" width="22.8984375" bestFit="1" customWidth="1"/>
    <col min="2" max="2" width="45.19921875" customWidth="1"/>
    <col min="3" max="3" width="26.69921875" customWidth="1"/>
    <col min="4" max="4" width="32.19921875" customWidth="1"/>
    <col min="5" max="5" width="42.3984375" customWidth="1"/>
    <col min="6" max="9" width="26.69921875" customWidth="1"/>
  </cols>
  <sheetData>
    <row r="1" spans="1:14" ht="18.600000000000001" customHeight="1" x14ac:dyDescent="0.3">
      <c r="A1" s="28" t="s">
        <v>35</v>
      </c>
      <c r="B1" s="28"/>
    </row>
    <row r="2" spans="1:14" s="1" customFormat="1" x14ac:dyDescent="0.3">
      <c r="A2" s="1" t="s">
        <v>36</v>
      </c>
      <c r="B2" s="1" t="s">
        <v>37</v>
      </c>
      <c r="C2" s="2" t="s">
        <v>441</v>
      </c>
      <c r="D2" s="3" t="s">
        <v>443</v>
      </c>
      <c r="E2" s="2" t="s">
        <v>442</v>
      </c>
      <c r="F2" s="3" t="s">
        <v>444</v>
      </c>
      <c r="G2" s="1" t="s">
        <v>445</v>
      </c>
      <c r="H2" s="1" t="s">
        <v>446</v>
      </c>
      <c r="I2" s="1" t="s">
        <v>447</v>
      </c>
    </row>
    <row r="3" spans="1:14" x14ac:dyDescent="0.3">
      <c r="A3" s="6" t="s">
        <v>40</v>
      </c>
      <c r="B3" s="10"/>
      <c r="C3" s="10"/>
      <c r="D3" s="10"/>
      <c r="E3" s="10"/>
      <c r="F3" s="10"/>
      <c r="G3" s="10"/>
      <c r="H3" s="10"/>
      <c r="I3" s="10"/>
      <c r="J3" s="11"/>
      <c r="K3" s="11"/>
      <c r="L3" s="11"/>
      <c r="M3" s="11"/>
      <c r="N3" s="11"/>
    </row>
    <row r="4" spans="1:14" x14ac:dyDescent="0.3">
      <c r="A4" s="6" t="s">
        <v>41</v>
      </c>
      <c r="B4" s="10" t="s">
        <v>42</v>
      </c>
      <c r="C4" s="10" t="str">
        <f>+C2</f>
        <v>Relavera #7</v>
      </c>
      <c r="D4" s="10" t="str">
        <f t="shared" ref="D4:I4" si="0">+D2</f>
        <v>RELAVERA 6</v>
      </c>
      <c r="E4" s="10" t="str">
        <f t="shared" si="0"/>
        <v>RELAVERA 5</v>
      </c>
      <c r="F4" s="10" t="str">
        <f t="shared" si="0"/>
        <v>RELAVERA 4</v>
      </c>
      <c r="G4" s="10" t="str">
        <f t="shared" si="0"/>
        <v>RELAVERA 1</v>
      </c>
      <c r="H4" s="10" t="str">
        <f t="shared" si="0"/>
        <v>RELAVERA 2</v>
      </c>
      <c r="I4" s="10" t="str">
        <f t="shared" si="0"/>
        <v>RELAVERA 3</v>
      </c>
      <c r="J4" s="11"/>
      <c r="K4" s="11"/>
      <c r="L4" s="11"/>
      <c r="M4" s="11"/>
      <c r="N4" s="11"/>
    </row>
    <row r="5" spans="1:14" x14ac:dyDescent="0.3">
      <c r="A5" s="6" t="s">
        <v>47</v>
      </c>
      <c r="B5" s="10" t="s">
        <v>48</v>
      </c>
      <c r="C5" s="10" t="str">
        <f>+C4</f>
        <v>Relavera #7</v>
      </c>
      <c r="D5" s="10" t="str">
        <f t="shared" ref="D5:I5" si="1">+D4</f>
        <v>RELAVERA 6</v>
      </c>
      <c r="E5" s="10" t="str">
        <f t="shared" si="1"/>
        <v>RELAVERA 5</v>
      </c>
      <c r="F5" s="10" t="str">
        <f t="shared" si="1"/>
        <v>RELAVERA 4</v>
      </c>
      <c r="G5" s="10" t="str">
        <f t="shared" si="1"/>
        <v>RELAVERA 1</v>
      </c>
      <c r="H5" s="10" t="str">
        <f t="shared" si="1"/>
        <v>RELAVERA 2</v>
      </c>
      <c r="I5" s="10" t="str">
        <f t="shared" si="1"/>
        <v>RELAVERA 3</v>
      </c>
      <c r="J5" s="11"/>
      <c r="K5" s="11"/>
      <c r="L5" s="11"/>
      <c r="M5" s="11"/>
      <c r="N5" s="11"/>
    </row>
    <row r="6" spans="1:14" x14ac:dyDescent="0.3">
      <c r="A6" s="6" t="s">
        <v>49</v>
      </c>
      <c r="B6" s="10"/>
      <c r="C6" s="10"/>
      <c r="D6" s="10"/>
      <c r="E6" s="10"/>
      <c r="F6" s="10"/>
      <c r="G6" s="10"/>
      <c r="H6" s="10"/>
      <c r="I6" s="10"/>
      <c r="J6" s="11"/>
      <c r="K6" s="11"/>
      <c r="L6" s="11"/>
      <c r="M6" s="11"/>
      <c r="N6" s="11"/>
    </row>
    <row r="7" spans="1:14" s="4" customFormat="1" x14ac:dyDescent="0.3">
      <c r="A7" s="9" t="s">
        <v>50</v>
      </c>
      <c r="B7" s="12" t="s">
        <v>51</v>
      </c>
      <c r="C7" s="12" t="s">
        <v>52</v>
      </c>
      <c r="D7" s="12" t="s">
        <v>52</v>
      </c>
      <c r="E7" s="12" t="s">
        <v>53</v>
      </c>
      <c r="F7" s="12" t="s">
        <v>54</v>
      </c>
      <c r="G7" s="12" t="s">
        <v>55</v>
      </c>
      <c r="H7" s="12" t="s">
        <v>56</v>
      </c>
      <c r="I7" s="12" t="s">
        <v>56</v>
      </c>
      <c r="J7" s="13"/>
      <c r="K7" s="13"/>
      <c r="L7" s="13"/>
      <c r="M7" s="13"/>
      <c r="N7" s="13"/>
    </row>
    <row r="8" spans="1:14" s="4" customFormat="1" x14ac:dyDescent="0.3">
      <c r="A8" s="9" t="s">
        <v>57</v>
      </c>
      <c r="B8" s="12" t="s">
        <v>58</v>
      </c>
      <c r="C8" s="12" t="s">
        <v>59</v>
      </c>
      <c r="D8" s="12" t="s">
        <v>59</v>
      </c>
      <c r="E8" s="12" t="s">
        <v>60</v>
      </c>
      <c r="F8" s="12" t="s">
        <v>61</v>
      </c>
      <c r="G8" s="12" t="s">
        <v>62</v>
      </c>
      <c r="H8" s="12" t="s">
        <v>60</v>
      </c>
      <c r="I8" s="12" t="s">
        <v>60</v>
      </c>
      <c r="J8" s="13"/>
      <c r="K8" s="13"/>
      <c r="L8" s="13"/>
      <c r="M8" s="13"/>
      <c r="N8" s="13"/>
    </row>
    <row r="9" spans="1:14" x14ac:dyDescent="0.3">
      <c r="A9" s="8" t="s">
        <v>63</v>
      </c>
      <c r="B9" s="10"/>
      <c r="C9" s="10"/>
      <c r="D9" s="10"/>
      <c r="E9" s="10"/>
      <c r="F9" s="10"/>
      <c r="G9" s="10"/>
      <c r="H9" s="10"/>
      <c r="I9" s="10"/>
      <c r="J9" s="11"/>
      <c r="K9" s="11"/>
      <c r="L9" s="11"/>
      <c r="M9" s="11"/>
      <c r="N9" s="11"/>
    </row>
    <row r="10" spans="1:14" x14ac:dyDescent="0.3">
      <c r="A10" s="6" t="s">
        <v>64</v>
      </c>
      <c r="B10" s="10" t="s">
        <v>65</v>
      </c>
      <c r="C10" s="10" t="s">
        <v>66</v>
      </c>
      <c r="D10" s="7" t="s">
        <v>67</v>
      </c>
      <c r="E10" s="17" t="s">
        <v>68</v>
      </c>
      <c r="F10" s="10" t="s">
        <v>69</v>
      </c>
      <c r="G10" s="10" t="s">
        <v>70</v>
      </c>
      <c r="H10" s="10" t="s">
        <v>71</v>
      </c>
      <c r="I10" s="10" t="s">
        <v>71</v>
      </c>
      <c r="J10" s="11"/>
      <c r="K10" s="11"/>
      <c r="L10" s="11"/>
      <c r="M10" s="11"/>
      <c r="N10" s="11"/>
    </row>
    <row r="11" spans="1:14" s="4" customFormat="1" x14ac:dyDescent="0.3">
      <c r="A11" s="9" t="s">
        <v>72</v>
      </c>
      <c r="B11" s="12" t="s">
        <v>73</v>
      </c>
      <c r="C11" s="12" t="s">
        <v>74</v>
      </c>
      <c r="D11" s="29">
        <v>72</v>
      </c>
      <c r="E11" s="12" t="s">
        <v>75</v>
      </c>
      <c r="F11" s="12" t="s">
        <v>76</v>
      </c>
      <c r="G11" s="12" t="s">
        <v>77</v>
      </c>
      <c r="H11" s="12" t="s">
        <v>78</v>
      </c>
      <c r="I11" s="12" t="s">
        <v>78</v>
      </c>
      <c r="J11" s="13"/>
      <c r="K11" s="13"/>
      <c r="L11" s="13"/>
      <c r="M11" s="13"/>
      <c r="N11" s="13"/>
    </row>
    <row r="12" spans="1:14" x14ac:dyDescent="0.3">
      <c r="A12" s="6" t="s">
        <v>79</v>
      </c>
      <c r="B12" s="10" t="s">
        <v>80</v>
      </c>
      <c r="C12" s="10" t="s">
        <v>81</v>
      </c>
      <c r="D12" s="7" t="s">
        <v>82</v>
      </c>
      <c r="E12" s="16">
        <v>2014</v>
      </c>
      <c r="F12" s="10" t="s">
        <v>83</v>
      </c>
      <c r="G12" s="10" t="s">
        <v>84</v>
      </c>
      <c r="H12" s="10" t="s">
        <v>85</v>
      </c>
      <c r="I12" s="10" t="s">
        <v>85</v>
      </c>
      <c r="J12" s="11"/>
      <c r="K12" s="11"/>
      <c r="L12" s="11"/>
      <c r="M12" s="11"/>
      <c r="N12" s="11"/>
    </row>
    <row r="13" spans="1:14" s="4" customFormat="1" x14ac:dyDescent="0.3">
      <c r="A13" s="9" t="s">
        <v>86</v>
      </c>
      <c r="B13" s="12" t="s">
        <v>87</v>
      </c>
      <c r="C13" s="12" t="s">
        <v>88</v>
      </c>
      <c r="D13" s="12" t="s">
        <v>89</v>
      </c>
      <c r="E13" s="12" t="s">
        <v>90</v>
      </c>
      <c r="F13" s="12" t="s">
        <v>91</v>
      </c>
      <c r="G13" s="12" t="s">
        <v>92</v>
      </c>
      <c r="H13" s="12" t="s">
        <v>93</v>
      </c>
      <c r="I13" s="12" t="s">
        <v>93</v>
      </c>
      <c r="J13" s="13"/>
      <c r="K13" s="13"/>
      <c r="L13" s="13"/>
      <c r="M13" s="13"/>
      <c r="N13" s="13"/>
    </row>
    <row r="14" spans="1:14" s="1" customFormat="1" x14ac:dyDescent="0.3">
      <c r="A14" s="8" t="s">
        <v>94</v>
      </c>
      <c r="B14" s="14"/>
      <c r="C14" s="14"/>
      <c r="D14" s="14"/>
      <c r="E14" s="14"/>
      <c r="F14" s="14"/>
      <c r="G14" s="14"/>
      <c r="H14" s="14"/>
      <c r="I14" s="14"/>
      <c r="J14" s="15"/>
      <c r="K14" s="15"/>
      <c r="L14" s="15"/>
      <c r="M14" s="15"/>
      <c r="N14" s="15"/>
    </row>
    <row r="15" spans="1:14" x14ac:dyDescent="0.3">
      <c r="A15" s="6" t="s">
        <v>95</v>
      </c>
      <c r="B15" s="10" t="s">
        <v>96</v>
      </c>
      <c r="C15" s="10" t="s">
        <v>97</v>
      </c>
      <c r="D15" s="7" t="s">
        <v>98</v>
      </c>
      <c r="E15" s="17" t="s">
        <v>450</v>
      </c>
      <c r="F15" s="10" t="s">
        <v>99</v>
      </c>
      <c r="G15" s="10" t="s">
        <v>100</v>
      </c>
      <c r="H15" s="10" t="s">
        <v>101</v>
      </c>
      <c r="I15" s="10" t="s">
        <v>101</v>
      </c>
      <c r="J15" s="11"/>
      <c r="K15" s="11"/>
      <c r="L15" s="11"/>
      <c r="M15" s="11"/>
      <c r="N15" s="11"/>
    </row>
    <row r="16" spans="1:14" x14ac:dyDescent="0.3">
      <c r="A16" s="6" t="s">
        <v>102</v>
      </c>
      <c r="B16" s="10" t="s">
        <v>103</v>
      </c>
      <c r="C16" s="10" t="s">
        <v>104</v>
      </c>
      <c r="D16" s="7" t="s">
        <v>105</v>
      </c>
      <c r="E16" s="20" t="s">
        <v>453</v>
      </c>
      <c r="F16" s="10" t="s">
        <v>449</v>
      </c>
      <c r="G16" s="10" t="s">
        <v>106</v>
      </c>
      <c r="H16" s="10" t="s">
        <v>107</v>
      </c>
      <c r="I16" s="10" t="s">
        <v>107</v>
      </c>
      <c r="J16" s="11"/>
      <c r="K16" s="11"/>
      <c r="L16" s="11"/>
      <c r="M16" s="11"/>
      <c r="N16" s="11"/>
    </row>
    <row r="17" spans="1:14" x14ac:dyDescent="0.3">
      <c r="A17" t="s">
        <v>108</v>
      </c>
      <c r="B17" s="11" t="s">
        <v>109</v>
      </c>
      <c r="C17" s="11" t="s">
        <v>110</v>
      </c>
      <c r="D17" s="5" t="s">
        <v>111</v>
      </c>
      <c r="E17" s="18" t="s">
        <v>451</v>
      </c>
      <c r="F17" s="11" t="s">
        <v>112</v>
      </c>
      <c r="G17" s="11" t="s">
        <v>113</v>
      </c>
      <c r="H17" s="11" t="s">
        <v>114</v>
      </c>
      <c r="I17" s="11" t="s">
        <v>114</v>
      </c>
      <c r="J17" s="11"/>
      <c r="K17" s="11"/>
      <c r="L17" s="11"/>
      <c r="M17" s="11"/>
      <c r="N17" s="11"/>
    </row>
    <row r="18" spans="1:14" x14ac:dyDescent="0.3">
      <c r="A18" t="s">
        <v>115</v>
      </c>
      <c r="B18" s="11" t="s">
        <v>116</v>
      </c>
      <c r="C18" s="11" t="s">
        <v>117</v>
      </c>
      <c r="D18" s="5" t="s">
        <v>118</v>
      </c>
      <c r="E18" s="12" t="s">
        <v>119</v>
      </c>
      <c r="F18" s="11" t="s">
        <v>120</v>
      </c>
      <c r="G18" s="11" t="s">
        <v>121</v>
      </c>
      <c r="H18" s="11" t="s">
        <v>122</v>
      </c>
      <c r="I18" s="11" t="s">
        <v>122</v>
      </c>
      <c r="J18" s="11"/>
      <c r="K18" s="11"/>
      <c r="L18" s="11"/>
      <c r="M18" s="11"/>
      <c r="N18" s="11"/>
    </row>
    <row r="19" spans="1:14" x14ac:dyDescent="0.3">
      <c r="A19" s="1" t="s">
        <v>123</v>
      </c>
    </row>
    <row r="20" spans="1:14" x14ac:dyDescent="0.3">
      <c r="A20" t="s">
        <v>124</v>
      </c>
      <c r="B20" t="s">
        <v>125</v>
      </c>
      <c r="C20" t="s">
        <v>126</v>
      </c>
      <c r="D20" s="5" t="s">
        <v>127</v>
      </c>
      <c r="E20" s="19" t="s">
        <v>452</v>
      </c>
      <c r="F20" t="s">
        <v>128</v>
      </c>
      <c r="G20" t="s">
        <v>129</v>
      </c>
      <c r="H20" t="s">
        <v>130</v>
      </c>
      <c r="I20" t="s">
        <v>130</v>
      </c>
    </row>
    <row r="21" spans="1:14" x14ac:dyDescent="0.3">
      <c r="A21" s="1" t="s">
        <v>131</v>
      </c>
    </row>
    <row r="22" spans="1:14" x14ac:dyDescent="0.3">
      <c r="A22" t="s">
        <v>132</v>
      </c>
      <c r="B22" t="s">
        <v>133</v>
      </c>
      <c r="C22" t="s">
        <v>134</v>
      </c>
      <c r="D22" t="s">
        <v>135</v>
      </c>
      <c r="E22" t="s">
        <v>136</v>
      </c>
      <c r="F22" t="s">
        <v>137</v>
      </c>
      <c r="G22" t="s">
        <v>138</v>
      </c>
      <c r="H22" t="s">
        <v>139</v>
      </c>
      <c r="I22" t="s">
        <v>139</v>
      </c>
    </row>
    <row r="23" spans="1:14" x14ac:dyDescent="0.3">
      <c r="A23" t="s">
        <v>140</v>
      </c>
      <c r="B23" t="s">
        <v>141</v>
      </c>
      <c r="C23" t="s">
        <v>142</v>
      </c>
      <c r="D23" t="s">
        <v>143</v>
      </c>
      <c r="E23" t="s">
        <v>144</v>
      </c>
      <c r="F23" t="s">
        <v>145</v>
      </c>
      <c r="G23" t="s">
        <v>146</v>
      </c>
      <c r="H23" t="s">
        <v>147</v>
      </c>
      <c r="I23" t="s">
        <v>147</v>
      </c>
    </row>
  </sheetData>
  <mergeCells count="1">
    <mergeCell ref="A1:B1"/>
  </mergeCells>
  <pageMargins left="0.7" right="0.7" top="0.75" bottom="0.75" header="0.3" footer="0.3"/>
  <ignoredErrors>
    <ignoredError sqref="A1 A3:H3 A2:B2 A6:H10 A4:B4 A5:B5 A19:H19 A16:D16 G16:H16 C1:H1 A15:D15 G15:H15 A13:H14 A12:D12 F12:H12 A17:D17 F17:H17 A21:H23 A20:D20 F20:H20 A18:D18 F18:H18 A11:C11 E11:H1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22"/>
  <sheetViews>
    <sheetView zoomScale="130" zoomScaleNormal="130" workbookViewId="0">
      <selection activeCell="E29" sqref="E29"/>
    </sheetView>
  </sheetViews>
  <sheetFormatPr baseColWidth="10" defaultRowHeight="15.6" x14ac:dyDescent="0.3"/>
  <cols>
    <col min="1" max="1" width="35" customWidth="1"/>
    <col min="2" max="2" width="36.69921875" customWidth="1"/>
    <col min="3" max="3" width="25" customWidth="1"/>
    <col min="4" max="4" width="28.09765625" bestFit="1" customWidth="1"/>
    <col min="5" max="5" width="37.09765625" bestFit="1" customWidth="1"/>
    <col min="6" max="6" width="37.69921875" bestFit="1" customWidth="1"/>
    <col min="7" max="9" width="25" customWidth="1"/>
  </cols>
  <sheetData>
    <row r="1" spans="1:9" x14ac:dyDescent="0.3">
      <c r="A1" t="s">
        <v>148</v>
      </c>
    </row>
    <row r="2" spans="1:9" x14ac:dyDescent="0.3">
      <c r="A2" t="s">
        <v>36</v>
      </c>
      <c r="B2" t="s">
        <v>37</v>
      </c>
      <c r="C2" s="2" t="s">
        <v>441</v>
      </c>
      <c r="D2" s="3" t="s">
        <v>443</v>
      </c>
      <c r="E2" s="2" t="s">
        <v>442</v>
      </c>
      <c r="F2" s="3" t="s">
        <v>444</v>
      </c>
      <c r="G2" s="1" t="s">
        <v>445</v>
      </c>
      <c r="H2" s="1" t="s">
        <v>446</v>
      </c>
      <c r="I2" s="1" t="s">
        <v>447</v>
      </c>
    </row>
    <row r="3" spans="1:9" s="1" customFormat="1" x14ac:dyDescent="0.3">
      <c r="A3" s="1" t="s">
        <v>149</v>
      </c>
    </row>
    <row r="4" spans="1:9" x14ac:dyDescent="0.3">
      <c r="A4" t="s">
        <v>150</v>
      </c>
      <c r="B4" t="s">
        <v>151</v>
      </c>
      <c r="C4" t="s">
        <v>152</v>
      </c>
      <c r="D4" s="5" t="s">
        <v>152</v>
      </c>
      <c r="E4" s="25" t="s">
        <v>152</v>
      </c>
      <c r="F4" t="s">
        <v>152</v>
      </c>
      <c r="G4" t="s">
        <v>152</v>
      </c>
      <c r="H4" t="s">
        <v>152</v>
      </c>
      <c r="I4" t="s">
        <v>152</v>
      </c>
    </row>
    <row r="5" spans="1:9" x14ac:dyDescent="0.3">
      <c r="A5" t="s">
        <v>153</v>
      </c>
      <c r="B5" t="s">
        <v>154</v>
      </c>
      <c r="C5" t="s">
        <v>155</v>
      </c>
      <c r="D5" s="5" t="s">
        <v>156</v>
      </c>
      <c r="E5" s="25" t="s">
        <v>157</v>
      </c>
      <c r="F5" t="s">
        <v>158</v>
      </c>
      <c r="G5" t="s">
        <v>158</v>
      </c>
      <c r="H5" t="s">
        <v>159</v>
      </c>
      <c r="I5" t="s">
        <v>159</v>
      </c>
    </row>
    <row r="6" spans="1:9" x14ac:dyDescent="0.3">
      <c r="A6" t="s">
        <v>160</v>
      </c>
      <c r="B6" t="s">
        <v>161</v>
      </c>
      <c r="C6" t="s">
        <v>162</v>
      </c>
      <c r="D6" s="5" t="s">
        <v>163</v>
      </c>
      <c r="E6" s="25" t="s">
        <v>164</v>
      </c>
      <c r="F6" t="s">
        <v>165</v>
      </c>
      <c r="G6" t="s">
        <v>165</v>
      </c>
      <c r="H6" t="s">
        <v>166</v>
      </c>
      <c r="I6" t="s">
        <v>166</v>
      </c>
    </row>
    <row r="7" spans="1:9" x14ac:dyDescent="0.3">
      <c r="A7" t="s">
        <v>167</v>
      </c>
      <c r="B7" t="s">
        <v>168</v>
      </c>
      <c r="C7" t="s">
        <v>169</v>
      </c>
      <c r="D7" s="5" t="s">
        <v>170</v>
      </c>
      <c r="E7" s="25" t="s">
        <v>171</v>
      </c>
      <c r="F7" t="s">
        <v>172</v>
      </c>
      <c r="G7" t="s">
        <v>172</v>
      </c>
      <c r="H7" t="s">
        <v>171</v>
      </c>
      <c r="I7" t="s">
        <v>171</v>
      </c>
    </row>
    <row r="8" spans="1:9" x14ac:dyDescent="0.3">
      <c r="A8" t="s">
        <v>173</v>
      </c>
      <c r="B8" t="s">
        <v>174</v>
      </c>
      <c r="C8" t="s">
        <v>175</v>
      </c>
      <c r="D8" s="5" t="s">
        <v>176</v>
      </c>
      <c r="E8" s="25" t="s">
        <v>176</v>
      </c>
      <c r="F8" t="s">
        <v>177</v>
      </c>
      <c r="G8" t="s">
        <v>177</v>
      </c>
      <c r="H8" t="s">
        <v>178</v>
      </c>
      <c r="I8" t="s">
        <v>178</v>
      </c>
    </row>
    <row r="9" spans="1:9" x14ac:dyDescent="0.3">
      <c r="A9" t="s">
        <v>179</v>
      </c>
      <c r="B9" t="s">
        <v>180</v>
      </c>
      <c r="C9" t="s">
        <v>181</v>
      </c>
      <c r="D9" s="5" t="s">
        <v>182</v>
      </c>
      <c r="E9" s="25" t="s">
        <v>183</v>
      </c>
      <c r="F9" t="s">
        <v>181</v>
      </c>
      <c r="G9" t="s">
        <v>181</v>
      </c>
      <c r="H9" t="s">
        <v>182</v>
      </c>
      <c r="I9" t="s">
        <v>182</v>
      </c>
    </row>
    <row r="10" spans="1:9" x14ac:dyDescent="0.3">
      <c r="A10" s="1" t="s">
        <v>184</v>
      </c>
    </row>
    <row r="11" spans="1:9" x14ac:dyDescent="0.3">
      <c r="A11" t="s">
        <v>185</v>
      </c>
      <c r="B11" t="s">
        <v>186</v>
      </c>
      <c r="C11" t="s">
        <v>187</v>
      </c>
      <c r="D11" s="5" t="s">
        <v>188</v>
      </c>
      <c r="E11" s="25" t="s">
        <v>448</v>
      </c>
      <c r="F11" t="s">
        <v>457</v>
      </c>
      <c r="G11" t="s">
        <v>189</v>
      </c>
      <c r="H11" t="s">
        <v>190</v>
      </c>
      <c r="I11" t="s">
        <v>190</v>
      </c>
    </row>
    <row r="12" spans="1:9" x14ac:dyDescent="0.3">
      <c r="A12" t="s">
        <v>191</v>
      </c>
      <c r="B12" t="s">
        <v>192</v>
      </c>
      <c r="C12" t="s">
        <v>193</v>
      </c>
      <c r="D12" s="5" t="s">
        <v>194</v>
      </c>
      <c r="E12" s="25" t="s">
        <v>195</v>
      </c>
      <c r="F12" t="s">
        <v>196</v>
      </c>
      <c r="G12" t="s">
        <v>196</v>
      </c>
      <c r="H12" t="s">
        <v>197</v>
      </c>
      <c r="I12" t="s">
        <v>197</v>
      </c>
    </row>
    <row r="13" spans="1:9" x14ac:dyDescent="0.3">
      <c r="A13" t="s">
        <v>198</v>
      </c>
      <c r="B13" t="s">
        <v>199</v>
      </c>
      <c r="C13" t="s">
        <v>200</v>
      </c>
      <c r="D13" s="5" t="s">
        <v>200</v>
      </c>
      <c r="E13" s="25" t="s">
        <v>200</v>
      </c>
      <c r="F13" t="s">
        <v>458</v>
      </c>
      <c r="G13" t="s">
        <v>200</v>
      </c>
      <c r="H13" t="s">
        <v>200</v>
      </c>
      <c r="I13" t="s">
        <v>200</v>
      </c>
    </row>
    <row r="14" spans="1:9" x14ac:dyDescent="0.3">
      <c r="A14" t="s">
        <v>201</v>
      </c>
      <c r="B14" t="s">
        <v>202</v>
      </c>
      <c r="C14" t="s">
        <v>203</v>
      </c>
      <c r="D14" s="5" t="s">
        <v>204</v>
      </c>
      <c r="E14" s="25" t="s">
        <v>205</v>
      </c>
      <c r="F14" t="s">
        <v>459</v>
      </c>
      <c r="G14" t="s">
        <v>206</v>
      </c>
      <c r="H14" t="s">
        <v>207</v>
      </c>
      <c r="I14" t="s">
        <v>207</v>
      </c>
    </row>
    <row r="15" spans="1:9" x14ac:dyDescent="0.3">
      <c r="A15" t="s">
        <v>208</v>
      </c>
      <c r="B15" t="s">
        <v>209</v>
      </c>
      <c r="C15" t="s">
        <v>210</v>
      </c>
      <c r="D15" s="5" t="s">
        <v>211</v>
      </c>
      <c r="E15" s="25" t="s">
        <v>212</v>
      </c>
      <c r="F15" t="s">
        <v>460</v>
      </c>
      <c r="G15" t="s">
        <v>213</v>
      </c>
      <c r="H15" t="s">
        <v>214</v>
      </c>
      <c r="I15" t="s">
        <v>214</v>
      </c>
    </row>
    <row r="16" spans="1:9" x14ac:dyDescent="0.3">
      <c r="A16" t="s">
        <v>215</v>
      </c>
      <c r="B16" t="s">
        <v>216</v>
      </c>
      <c r="C16" t="s">
        <v>217</v>
      </c>
      <c r="D16" s="5" t="s">
        <v>218</v>
      </c>
      <c r="E16" s="25" t="s">
        <v>219</v>
      </c>
      <c r="F16" t="s">
        <v>461</v>
      </c>
      <c r="G16" t="s">
        <v>220</v>
      </c>
      <c r="H16" t="s">
        <v>221</v>
      </c>
      <c r="I16" t="s">
        <v>221</v>
      </c>
    </row>
    <row r="17" spans="1:9" x14ac:dyDescent="0.3">
      <c r="A17" t="s">
        <v>222</v>
      </c>
      <c r="B17" t="s">
        <v>223</v>
      </c>
      <c r="C17" t="s">
        <v>224</v>
      </c>
      <c r="D17" s="5" t="s">
        <v>225</v>
      </c>
      <c r="E17" s="25" t="s">
        <v>226</v>
      </c>
      <c r="F17" t="s">
        <v>462</v>
      </c>
      <c r="G17" t="s">
        <v>227</v>
      </c>
      <c r="H17" t="s">
        <v>228</v>
      </c>
      <c r="I17" t="s">
        <v>228</v>
      </c>
    </row>
    <row r="18" spans="1:9" x14ac:dyDescent="0.3">
      <c r="A18" s="1" t="s">
        <v>229</v>
      </c>
    </row>
    <row r="19" spans="1:9" x14ac:dyDescent="0.3">
      <c r="A19" t="s">
        <v>230</v>
      </c>
      <c r="B19" t="s">
        <v>231</v>
      </c>
      <c r="C19" t="s">
        <v>232</v>
      </c>
      <c r="D19" s="5" t="s">
        <v>233</v>
      </c>
      <c r="E19" s="22" t="s">
        <v>456</v>
      </c>
      <c r="F19" t="s">
        <v>234</v>
      </c>
      <c r="G19" t="s">
        <v>234</v>
      </c>
      <c r="H19" t="s">
        <v>235</v>
      </c>
      <c r="I19" t="s">
        <v>235</v>
      </c>
    </row>
    <row r="20" spans="1:9" x14ac:dyDescent="0.3">
      <c r="A20" t="s">
        <v>236</v>
      </c>
      <c r="B20" t="s">
        <v>237</v>
      </c>
      <c r="C20" t="s">
        <v>238</v>
      </c>
      <c r="D20" s="5" t="s">
        <v>239</v>
      </c>
      <c r="E20" s="5" t="s">
        <v>240</v>
      </c>
      <c r="F20" t="s">
        <v>463</v>
      </c>
      <c r="G20" t="s">
        <v>241</v>
      </c>
      <c r="H20" t="s">
        <v>242</v>
      </c>
      <c r="I20" t="s">
        <v>242</v>
      </c>
    </row>
    <row r="21" spans="1:9" x14ac:dyDescent="0.3">
      <c r="A21" t="s">
        <v>243</v>
      </c>
      <c r="B21" t="s">
        <v>244</v>
      </c>
      <c r="C21" t="s">
        <v>245</v>
      </c>
      <c r="D21" s="5" t="s">
        <v>246</v>
      </c>
      <c r="E21" s="5" t="s">
        <v>247</v>
      </c>
      <c r="F21" t="s">
        <v>464</v>
      </c>
      <c r="G21" t="s">
        <v>248</v>
      </c>
      <c r="H21" t="s">
        <v>249</v>
      </c>
      <c r="I21" t="s">
        <v>249</v>
      </c>
    </row>
    <row r="22" spans="1:9" x14ac:dyDescent="0.3">
      <c r="A22" t="s">
        <v>250</v>
      </c>
      <c r="B22" t="s">
        <v>251</v>
      </c>
      <c r="C22" t="s">
        <v>252</v>
      </c>
      <c r="D22" s="5" t="s">
        <v>253</v>
      </c>
      <c r="E22" s="18" t="s">
        <v>454</v>
      </c>
      <c r="F22" t="s">
        <v>254</v>
      </c>
      <c r="G22" t="s">
        <v>254</v>
      </c>
      <c r="H22" t="s">
        <v>255</v>
      </c>
      <c r="I22" t="s">
        <v>255</v>
      </c>
    </row>
  </sheetData>
  <phoneticPr fontId="6" type="noConversion"/>
  <pageMargins left="0.7" right="0.7" top="0.75" bottom="0.75" header="0.3" footer="0.3"/>
  <ignoredErrors>
    <ignoredError sqref="A1:H1 A3:H3 A2:B2 A18:H18 A11:D11 G11:H11 A10:D10 B5:D5 A20:D21 B19:D19 A22:D22 G22:H22 G19:H19 B4:D4 G4:H4 A6:D9 G6:H9 G5:H5 A12:D17 G12:H17 G20:H21 G10:H10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"/>
  <sheetViews>
    <sheetView workbookViewId="0">
      <selection activeCell="F26" sqref="F26"/>
    </sheetView>
  </sheetViews>
  <sheetFormatPr baseColWidth="10" defaultRowHeight="15.6" x14ac:dyDescent="0.3"/>
  <cols>
    <col min="1" max="1" width="20" customWidth="1"/>
    <col min="2" max="2" width="15" customWidth="1"/>
    <col min="3" max="3" width="36.69921875" customWidth="1"/>
    <col min="4" max="4" width="18.296875" customWidth="1"/>
    <col min="5" max="5" width="30" customWidth="1"/>
    <col min="6" max="6" width="15" customWidth="1"/>
    <col min="7" max="7" width="33.296875" customWidth="1"/>
    <col min="8" max="8" width="15" customWidth="1"/>
  </cols>
  <sheetData>
    <row r="1" spans="1:8" x14ac:dyDescent="0.3">
      <c r="A1" t="s">
        <v>256</v>
      </c>
    </row>
    <row r="2" spans="1:8" x14ac:dyDescent="0.3">
      <c r="A2" t="s">
        <v>257</v>
      </c>
      <c r="B2" t="s">
        <v>258</v>
      </c>
      <c r="C2" t="s">
        <v>259</v>
      </c>
      <c r="D2" t="s">
        <v>260</v>
      </c>
      <c r="E2" t="s">
        <v>261</v>
      </c>
      <c r="F2" t="s">
        <v>262</v>
      </c>
      <c r="G2" t="s">
        <v>263</v>
      </c>
      <c r="H2" t="s">
        <v>264</v>
      </c>
    </row>
    <row r="3" spans="1:8" x14ac:dyDescent="0.3">
      <c r="A3" t="s">
        <v>38</v>
      </c>
      <c r="B3" t="s">
        <v>265</v>
      </c>
      <c r="C3" t="s">
        <v>266</v>
      </c>
      <c r="D3" t="s">
        <v>267</v>
      </c>
      <c r="E3" t="s">
        <v>268</v>
      </c>
      <c r="F3" t="s">
        <v>269</v>
      </c>
      <c r="G3" t="s">
        <v>1</v>
      </c>
      <c r="H3" t="s">
        <v>270</v>
      </c>
    </row>
    <row r="4" spans="1:8" x14ac:dyDescent="0.3">
      <c r="A4" t="s">
        <v>38</v>
      </c>
      <c r="B4" t="s">
        <v>271</v>
      </c>
      <c r="C4" t="s">
        <v>272</v>
      </c>
      <c r="D4" t="s">
        <v>267</v>
      </c>
      <c r="E4" t="s">
        <v>273</v>
      </c>
      <c r="F4" t="s">
        <v>269</v>
      </c>
      <c r="G4" t="s">
        <v>1</v>
      </c>
      <c r="H4" t="s">
        <v>270</v>
      </c>
    </row>
    <row r="5" spans="1:8" x14ac:dyDescent="0.3">
      <c r="A5" t="s">
        <v>38</v>
      </c>
      <c r="B5" t="s">
        <v>274</v>
      </c>
      <c r="C5" t="s">
        <v>275</v>
      </c>
      <c r="D5" t="s">
        <v>276</v>
      </c>
      <c r="E5" t="s">
        <v>277</v>
      </c>
      <c r="F5" t="s">
        <v>269</v>
      </c>
      <c r="G5" t="s">
        <v>1</v>
      </c>
      <c r="H5" t="s">
        <v>270</v>
      </c>
    </row>
    <row r="6" spans="1:8" x14ac:dyDescent="0.3">
      <c r="A6" t="s">
        <v>38</v>
      </c>
      <c r="B6" t="s">
        <v>278</v>
      </c>
      <c r="C6" t="s">
        <v>279</v>
      </c>
      <c r="D6" t="s">
        <v>280</v>
      </c>
      <c r="E6" t="s">
        <v>281</v>
      </c>
      <c r="F6" t="s">
        <v>269</v>
      </c>
      <c r="G6" t="s">
        <v>1</v>
      </c>
      <c r="H6" t="s">
        <v>270</v>
      </c>
    </row>
    <row r="7" spans="1:8" x14ac:dyDescent="0.3">
      <c r="A7" t="s">
        <v>282</v>
      </c>
      <c r="B7" t="s">
        <v>283</v>
      </c>
      <c r="C7" t="s">
        <v>1</v>
      </c>
      <c r="D7" t="s">
        <v>284</v>
      </c>
      <c r="E7" t="s">
        <v>1</v>
      </c>
      <c r="F7" t="s">
        <v>285</v>
      </c>
      <c r="G7" t="s">
        <v>1</v>
      </c>
      <c r="H7" t="s">
        <v>1</v>
      </c>
    </row>
    <row r="8" spans="1:8" x14ac:dyDescent="0.3">
      <c r="A8" t="s">
        <v>43</v>
      </c>
      <c r="B8" t="s">
        <v>286</v>
      </c>
      <c r="C8" t="s">
        <v>287</v>
      </c>
      <c r="D8" t="s">
        <v>267</v>
      </c>
      <c r="E8" t="s">
        <v>288</v>
      </c>
      <c r="F8" t="s">
        <v>269</v>
      </c>
      <c r="G8" t="s">
        <v>1</v>
      </c>
      <c r="H8" t="s">
        <v>270</v>
      </c>
    </row>
    <row r="9" spans="1:8" x14ac:dyDescent="0.3">
      <c r="A9" t="s">
        <v>43</v>
      </c>
      <c r="B9" t="s">
        <v>289</v>
      </c>
      <c r="C9" t="s">
        <v>290</v>
      </c>
      <c r="D9" t="s">
        <v>276</v>
      </c>
      <c r="E9" t="s">
        <v>291</v>
      </c>
      <c r="F9" t="s">
        <v>269</v>
      </c>
      <c r="G9" t="s">
        <v>1</v>
      </c>
      <c r="H9" t="s">
        <v>270</v>
      </c>
    </row>
    <row r="10" spans="1:8" x14ac:dyDescent="0.3">
      <c r="A10" t="s">
        <v>43</v>
      </c>
      <c r="B10" t="s">
        <v>292</v>
      </c>
      <c r="C10" t="s">
        <v>293</v>
      </c>
      <c r="D10" t="s">
        <v>294</v>
      </c>
      <c r="E10" t="s">
        <v>295</v>
      </c>
      <c r="F10" t="s">
        <v>269</v>
      </c>
      <c r="G10" t="s">
        <v>1</v>
      </c>
      <c r="H10" t="s">
        <v>270</v>
      </c>
    </row>
    <row r="11" spans="1:8" x14ac:dyDescent="0.3">
      <c r="A11" t="s">
        <v>43</v>
      </c>
      <c r="B11" t="s">
        <v>296</v>
      </c>
      <c r="C11" t="s">
        <v>297</v>
      </c>
      <c r="D11" t="s">
        <v>280</v>
      </c>
      <c r="E11" t="s">
        <v>298</v>
      </c>
      <c r="F11" t="s">
        <v>269</v>
      </c>
      <c r="G11" t="s">
        <v>1</v>
      </c>
      <c r="H11" t="s">
        <v>270</v>
      </c>
    </row>
    <row r="12" spans="1:8" x14ac:dyDescent="0.3">
      <c r="A12" t="s">
        <v>282</v>
      </c>
      <c r="B12" t="s">
        <v>299</v>
      </c>
      <c r="C12" t="s">
        <v>1</v>
      </c>
      <c r="D12" t="s">
        <v>284</v>
      </c>
      <c r="E12" t="s">
        <v>1</v>
      </c>
      <c r="F12" t="s">
        <v>285</v>
      </c>
      <c r="G12" t="s">
        <v>1</v>
      </c>
      <c r="H12" t="s">
        <v>1</v>
      </c>
    </row>
    <row r="13" spans="1:8" x14ac:dyDescent="0.3">
      <c r="A13" t="s">
        <v>44</v>
      </c>
      <c r="B13" t="s">
        <v>300</v>
      </c>
      <c r="C13" t="s">
        <v>301</v>
      </c>
      <c r="D13" t="s">
        <v>267</v>
      </c>
      <c r="E13" t="s">
        <v>302</v>
      </c>
      <c r="F13" t="s">
        <v>303</v>
      </c>
      <c r="G13" t="s">
        <v>1</v>
      </c>
      <c r="H13" t="s">
        <v>270</v>
      </c>
    </row>
    <row r="14" spans="1:8" x14ac:dyDescent="0.3">
      <c r="A14" t="s">
        <v>44</v>
      </c>
      <c r="B14" t="s">
        <v>304</v>
      </c>
      <c r="C14" t="s">
        <v>305</v>
      </c>
      <c r="D14" t="s">
        <v>267</v>
      </c>
      <c r="E14" t="s">
        <v>306</v>
      </c>
      <c r="F14" t="s">
        <v>303</v>
      </c>
      <c r="G14" t="s">
        <v>1</v>
      </c>
      <c r="H14" t="s">
        <v>270</v>
      </c>
    </row>
    <row r="15" spans="1:8" x14ac:dyDescent="0.3">
      <c r="A15" t="s">
        <v>44</v>
      </c>
      <c r="B15" t="s">
        <v>307</v>
      </c>
      <c r="C15" t="s">
        <v>308</v>
      </c>
      <c r="D15" t="s">
        <v>276</v>
      </c>
      <c r="E15" t="s">
        <v>309</v>
      </c>
      <c r="F15" t="s">
        <v>303</v>
      </c>
      <c r="G15" t="s">
        <v>1</v>
      </c>
      <c r="H15" t="s">
        <v>270</v>
      </c>
    </row>
    <row r="16" spans="1:8" x14ac:dyDescent="0.3">
      <c r="A16" t="s">
        <v>44</v>
      </c>
      <c r="B16" t="s">
        <v>310</v>
      </c>
      <c r="C16" t="s">
        <v>311</v>
      </c>
      <c r="D16" t="s">
        <v>280</v>
      </c>
      <c r="E16" t="s">
        <v>312</v>
      </c>
      <c r="F16" t="s">
        <v>269</v>
      </c>
      <c r="G16" t="s">
        <v>1</v>
      </c>
      <c r="H16" t="s">
        <v>270</v>
      </c>
    </row>
    <row r="17" spans="1:8" x14ac:dyDescent="0.3">
      <c r="A17" t="s">
        <v>282</v>
      </c>
      <c r="B17" t="s">
        <v>313</v>
      </c>
      <c r="C17" t="s">
        <v>1</v>
      </c>
      <c r="D17" t="s">
        <v>284</v>
      </c>
      <c r="E17" t="s">
        <v>1</v>
      </c>
      <c r="F17" t="s">
        <v>285</v>
      </c>
      <c r="G17" t="s">
        <v>1</v>
      </c>
      <c r="H17" t="s">
        <v>1</v>
      </c>
    </row>
    <row r="18" spans="1:8" x14ac:dyDescent="0.3">
      <c r="A18" t="s">
        <v>39</v>
      </c>
      <c r="B18" t="s">
        <v>314</v>
      </c>
      <c r="C18" t="s">
        <v>315</v>
      </c>
      <c r="D18" t="s">
        <v>267</v>
      </c>
      <c r="E18" t="s">
        <v>316</v>
      </c>
      <c r="F18" t="s">
        <v>317</v>
      </c>
      <c r="G18" t="s">
        <v>1</v>
      </c>
      <c r="H18" t="s">
        <v>270</v>
      </c>
    </row>
    <row r="19" spans="1:8" x14ac:dyDescent="0.3">
      <c r="A19" t="s">
        <v>39</v>
      </c>
      <c r="B19" t="s">
        <v>318</v>
      </c>
      <c r="C19" t="s">
        <v>319</v>
      </c>
      <c r="D19" t="s">
        <v>276</v>
      </c>
      <c r="E19" t="s">
        <v>320</v>
      </c>
      <c r="F19" t="s">
        <v>269</v>
      </c>
      <c r="G19" t="s">
        <v>1</v>
      </c>
      <c r="H19" t="s">
        <v>270</v>
      </c>
    </row>
    <row r="20" spans="1:8" x14ac:dyDescent="0.3">
      <c r="A20" t="s">
        <v>39</v>
      </c>
      <c r="B20" t="s">
        <v>321</v>
      </c>
      <c r="C20" t="s">
        <v>322</v>
      </c>
      <c r="D20" t="s">
        <v>280</v>
      </c>
      <c r="E20" t="s">
        <v>323</v>
      </c>
      <c r="F20" t="s">
        <v>269</v>
      </c>
      <c r="G20" t="s">
        <v>1</v>
      </c>
      <c r="H20" t="s">
        <v>270</v>
      </c>
    </row>
    <row r="21" spans="1:8" x14ac:dyDescent="0.3">
      <c r="A21" t="s">
        <v>282</v>
      </c>
      <c r="B21" t="s">
        <v>324</v>
      </c>
      <c r="C21" t="s">
        <v>1</v>
      </c>
      <c r="D21" t="s">
        <v>284</v>
      </c>
      <c r="E21" t="s">
        <v>1</v>
      </c>
      <c r="F21" t="s">
        <v>285</v>
      </c>
      <c r="G21" t="s">
        <v>1</v>
      </c>
      <c r="H21" t="s">
        <v>1</v>
      </c>
    </row>
    <row r="22" spans="1:8" x14ac:dyDescent="0.3">
      <c r="A22" t="s">
        <v>45</v>
      </c>
      <c r="B22" t="s">
        <v>325</v>
      </c>
      <c r="C22" t="s">
        <v>326</v>
      </c>
      <c r="D22" t="s">
        <v>267</v>
      </c>
      <c r="E22" t="s">
        <v>327</v>
      </c>
      <c r="F22" t="s">
        <v>317</v>
      </c>
      <c r="G22" t="s">
        <v>1</v>
      </c>
      <c r="H22" t="s">
        <v>270</v>
      </c>
    </row>
    <row r="23" spans="1:8" x14ac:dyDescent="0.3">
      <c r="A23" t="s">
        <v>45</v>
      </c>
      <c r="B23" t="s">
        <v>328</v>
      </c>
      <c r="C23" t="s">
        <v>329</v>
      </c>
      <c r="D23" t="s">
        <v>276</v>
      </c>
      <c r="E23" t="s">
        <v>330</v>
      </c>
      <c r="F23" t="s">
        <v>317</v>
      </c>
      <c r="G23" t="s">
        <v>1</v>
      </c>
      <c r="H23" t="s">
        <v>270</v>
      </c>
    </row>
    <row r="24" spans="1:8" x14ac:dyDescent="0.3">
      <c r="A24" t="s">
        <v>45</v>
      </c>
      <c r="B24" t="s">
        <v>331</v>
      </c>
      <c r="C24" t="s">
        <v>332</v>
      </c>
      <c r="D24" t="s">
        <v>280</v>
      </c>
      <c r="E24" t="s">
        <v>333</v>
      </c>
      <c r="F24" t="s">
        <v>317</v>
      </c>
      <c r="G24" t="s">
        <v>1</v>
      </c>
      <c r="H24" t="s">
        <v>270</v>
      </c>
    </row>
    <row r="25" spans="1:8" x14ac:dyDescent="0.3">
      <c r="A25" t="s">
        <v>282</v>
      </c>
      <c r="B25" t="s">
        <v>334</v>
      </c>
      <c r="C25" t="s">
        <v>1</v>
      </c>
      <c r="D25" t="s">
        <v>284</v>
      </c>
      <c r="E25" t="s">
        <v>1</v>
      </c>
      <c r="F25" t="s">
        <v>285</v>
      </c>
      <c r="G25" t="s">
        <v>1</v>
      </c>
      <c r="H25" t="s">
        <v>1</v>
      </c>
    </row>
    <row r="26" spans="1:8" x14ac:dyDescent="0.3">
      <c r="A26" t="s">
        <v>46</v>
      </c>
      <c r="B26" t="s">
        <v>335</v>
      </c>
      <c r="C26" t="s">
        <v>336</v>
      </c>
      <c r="D26" t="s">
        <v>267</v>
      </c>
      <c r="E26" t="s">
        <v>337</v>
      </c>
      <c r="F26" t="s">
        <v>269</v>
      </c>
      <c r="G26" t="s">
        <v>1</v>
      </c>
      <c r="H26" t="s">
        <v>270</v>
      </c>
    </row>
    <row r="27" spans="1:8" x14ac:dyDescent="0.3">
      <c r="A27" t="s">
        <v>46</v>
      </c>
      <c r="B27" t="s">
        <v>338</v>
      </c>
      <c r="C27" t="s">
        <v>339</v>
      </c>
      <c r="D27" t="s">
        <v>276</v>
      </c>
      <c r="E27" t="s">
        <v>340</v>
      </c>
      <c r="F27" t="s">
        <v>269</v>
      </c>
      <c r="G27" t="s">
        <v>1</v>
      </c>
      <c r="H27" t="s">
        <v>270</v>
      </c>
    </row>
    <row r="28" spans="1:8" x14ac:dyDescent="0.3">
      <c r="A28" t="s">
        <v>46</v>
      </c>
      <c r="B28" t="s">
        <v>341</v>
      </c>
      <c r="C28" t="s">
        <v>342</v>
      </c>
      <c r="D28" t="s">
        <v>280</v>
      </c>
      <c r="E28" t="s">
        <v>343</v>
      </c>
      <c r="F28" t="s">
        <v>269</v>
      </c>
      <c r="G28" t="s">
        <v>1</v>
      </c>
      <c r="H28" t="s">
        <v>270</v>
      </c>
    </row>
    <row r="29" spans="1:8" x14ac:dyDescent="0.3">
      <c r="A29" t="s">
        <v>282</v>
      </c>
      <c r="B29" t="s">
        <v>344</v>
      </c>
      <c r="C29" t="s">
        <v>1</v>
      </c>
      <c r="D29" t="s">
        <v>284</v>
      </c>
      <c r="E29" t="s">
        <v>1</v>
      </c>
      <c r="F29" t="s">
        <v>285</v>
      </c>
      <c r="G29" t="s">
        <v>1</v>
      </c>
      <c r="H29" t="s">
        <v>1</v>
      </c>
    </row>
    <row r="30" spans="1:8" x14ac:dyDescent="0.3">
      <c r="A30" t="s">
        <v>345</v>
      </c>
      <c r="B30" t="s">
        <v>284</v>
      </c>
    </row>
    <row r="31" spans="1:8" x14ac:dyDescent="0.3">
      <c r="A31" t="s">
        <v>346</v>
      </c>
      <c r="B31" t="s">
        <v>285</v>
      </c>
    </row>
  </sheetData>
  <pageMargins left="0.7" right="0.7" top="0.75" bottom="0.75" header="0.3" footer="0.3"/>
  <ignoredErrors>
    <ignoredError sqref="A1:H31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3"/>
  <sheetViews>
    <sheetView zoomScale="115" zoomScaleNormal="115" workbookViewId="0">
      <selection activeCell="D27" sqref="D27"/>
    </sheetView>
  </sheetViews>
  <sheetFormatPr baseColWidth="10" defaultRowHeight="15.6" x14ac:dyDescent="0.3"/>
  <cols>
    <col min="1" max="1" width="31.69921875" customWidth="1"/>
    <col min="2" max="2" width="38.296875" customWidth="1"/>
    <col min="3" max="9" width="25" customWidth="1"/>
  </cols>
  <sheetData>
    <row r="1" spans="1:9" x14ac:dyDescent="0.3">
      <c r="A1" t="s">
        <v>347</v>
      </c>
    </row>
    <row r="2" spans="1:9" x14ac:dyDescent="0.3">
      <c r="A2" s="1" t="s">
        <v>348</v>
      </c>
      <c r="B2" s="1" t="s">
        <v>349</v>
      </c>
      <c r="C2" s="2" t="s">
        <v>441</v>
      </c>
      <c r="D2" s="3" t="s">
        <v>443</v>
      </c>
      <c r="E2" s="2" t="s">
        <v>442</v>
      </c>
      <c r="F2" s="3" t="s">
        <v>444</v>
      </c>
      <c r="G2" s="1" t="s">
        <v>445</v>
      </c>
      <c r="H2" s="1" t="s">
        <v>446</v>
      </c>
      <c r="I2" s="1" t="s">
        <v>447</v>
      </c>
    </row>
    <row r="3" spans="1:9" x14ac:dyDescent="0.3">
      <c r="A3" t="s">
        <v>350</v>
      </c>
      <c r="B3" t="s">
        <v>351</v>
      </c>
      <c r="C3" t="s">
        <v>352</v>
      </c>
      <c r="D3" s="5" t="s">
        <v>353</v>
      </c>
      <c r="E3" s="23">
        <v>3.29</v>
      </c>
      <c r="F3" t="s">
        <v>98</v>
      </c>
      <c r="G3" t="s">
        <v>354</v>
      </c>
      <c r="H3" t="s">
        <v>355</v>
      </c>
      <c r="I3" t="s">
        <v>355</v>
      </c>
    </row>
    <row r="4" spans="1:9" x14ac:dyDescent="0.3">
      <c r="A4" t="s">
        <v>356</v>
      </c>
      <c r="B4" t="s">
        <v>357</v>
      </c>
      <c r="C4" t="s">
        <v>358</v>
      </c>
      <c r="D4" s="26" t="s">
        <v>359</v>
      </c>
      <c r="E4" s="21" t="s">
        <v>465</v>
      </c>
      <c r="F4" t="s">
        <v>359</v>
      </c>
      <c r="G4" t="s">
        <v>359</v>
      </c>
      <c r="H4" t="s">
        <v>359</v>
      </c>
      <c r="I4" t="s">
        <v>359</v>
      </c>
    </row>
    <row r="5" spans="1:9" x14ac:dyDescent="0.3">
      <c r="A5" t="s">
        <v>360</v>
      </c>
      <c r="B5" t="s">
        <v>361</v>
      </c>
      <c r="C5" t="s">
        <v>362</v>
      </c>
      <c r="D5" s="26" t="s">
        <v>363</v>
      </c>
      <c r="E5" s="27" t="s">
        <v>363</v>
      </c>
      <c r="F5" t="s">
        <v>363</v>
      </c>
      <c r="G5" t="s">
        <v>363</v>
      </c>
      <c r="H5" t="s">
        <v>363</v>
      </c>
      <c r="I5" t="s">
        <v>363</v>
      </c>
    </row>
    <row r="6" spans="1:9" x14ac:dyDescent="0.3">
      <c r="A6" t="s">
        <v>364</v>
      </c>
      <c r="B6" t="s">
        <v>365</v>
      </c>
      <c r="C6" t="s">
        <v>366</v>
      </c>
      <c r="D6" s="26" t="s">
        <v>367</v>
      </c>
      <c r="E6" s="19" t="s">
        <v>455</v>
      </c>
      <c r="F6" t="s">
        <v>367</v>
      </c>
      <c r="G6" t="s">
        <v>367</v>
      </c>
      <c r="H6" t="s">
        <v>367</v>
      </c>
      <c r="I6" t="s">
        <v>367</v>
      </c>
    </row>
    <row r="7" spans="1:9" x14ac:dyDescent="0.3">
      <c r="A7" t="s">
        <v>368</v>
      </c>
      <c r="B7" t="s">
        <v>369</v>
      </c>
      <c r="C7" s="4" t="s">
        <v>370</v>
      </c>
      <c r="D7" s="4" t="s">
        <v>370</v>
      </c>
      <c r="E7" s="4" t="s">
        <v>370</v>
      </c>
      <c r="F7" s="4" t="s">
        <v>370</v>
      </c>
      <c r="G7" s="4" t="s">
        <v>370</v>
      </c>
      <c r="H7" s="4" t="s">
        <v>370</v>
      </c>
      <c r="I7" s="4" t="s">
        <v>370</v>
      </c>
    </row>
    <row r="8" spans="1:9" x14ac:dyDescent="0.3">
      <c r="A8" t="s">
        <v>372</v>
      </c>
      <c r="B8" t="s">
        <v>373</v>
      </c>
      <c r="C8" s="4" t="s">
        <v>374</v>
      </c>
      <c r="D8" s="4" t="s">
        <v>374</v>
      </c>
      <c r="E8" s="4" t="s">
        <v>374</v>
      </c>
      <c r="F8" s="4" t="s">
        <v>374</v>
      </c>
      <c r="G8" s="4" t="s">
        <v>374</v>
      </c>
      <c r="H8" s="4" t="s">
        <v>374</v>
      </c>
      <c r="I8" s="4" t="s">
        <v>374</v>
      </c>
    </row>
    <row r="10" spans="1:9" x14ac:dyDescent="0.3">
      <c r="A10" t="s">
        <v>375</v>
      </c>
      <c r="B10" t="s">
        <v>349</v>
      </c>
      <c r="C10" s="2" t="s">
        <v>441</v>
      </c>
      <c r="D10" s="3" t="s">
        <v>443</v>
      </c>
      <c r="E10" s="2" t="s">
        <v>442</v>
      </c>
      <c r="F10" s="3" t="s">
        <v>444</v>
      </c>
      <c r="G10" s="1" t="s">
        <v>445</v>
      </c>
      <c r="H10" s="1" t="s">
        <v>446</v>
      </c>
      <c r="I10" s="1" t="s">
        <v>447</v>
      </c>
    </row>
    <row r="11" spans="1:9" x14ac:dyDescent="0.3">
      <c r="A11" t="s">
        <v>376</v>
      </c>
      <c r="B11" t="s">
        <v>377</v>
      </c>
      <c r="C11" t="s">
        <v>97</v>
      </c>
      <c r="D11" s="5" t="s">
        <v>98</v>
      </c>
      <c r="E11" s="24">
        <v>3.84</v>
      </c>
      <c r="F11" t="s">
        <v>99</v>
      </c>
      <c r="G11" t="s">
        <v>100</v>
      </c>
      <c r="H11" t="s">
        <v>101</v>
      </c>
      <c r="I11" t="s">
        <v>101</v>
      </c>
    </row>
    <row r="12" spans="1:9" x14ac:dyDescent="0.3">
      <c r="A12" t="s">
        <v>378</v>
      </c>
      <c r="B12" t="s">
        <v>379</v>
      </c>
      <c r="C12" t="s">
        <v>380</v>
      </c>
      <c r="D12" s="26" t="s">
        <v>371</v>
      </c>
      <c r="E12" s="26" t="s">
        <v>371</v>
      </c>
      <c r="F12" t="s">
        <v>371</v>
      </c>
      <c r="G12" t="s">
        <v>371</v>
      </c>
      <c r="H12" t="s">
        <v>371</v>
      </c>
      <c r="I12" t="s">
        <v>371</v>
      </c>
    </row>
    <row r="13" spans="1:9" x14ac:dyDescent="0.3">
      <c r="A13" t="s">
        <v>381</v>
      </c>
      <c r="B13" t="s">
        <v>382</v>
      </c>
      <c r="C13" t="s">
        <v>383</v>
      </c>
      <c r="D13" s="26" t="s">
        <v>371</v>
      </c>
      <c r="E13" s="26" t="s">
        <v>371</v>
      </c>
      <c r="F13" t="s">
        <v>371</v>
      </c>
      <c r="G13" t="s">
        <v>371</v>
      </c>
      <c r="H13" t="s">
        <v>371</v>
      </c>
      <c r="I13" t="s">
        <v>371</v>
      </c>
    </row>
    <row r="14" spans="1:9" x14ac:dyDescent="0.3">
      <c r="A14" t="s">
        <v>384</v>
      </c>
      <c r="B14" t="s">
        <v>385</v>
      </c>
      <c r="C14" s="4" t="s">
        <v>200</v>
      </c>
      <c r="D14" s="4" t="s">
        <v>200</v>
      </c>
      <c r="E14" s="4" t="s">
        <v>200</v>
      </c>
      <c r="F14" s="4" t="s">
        <v>200</v>
      </c>
      <c r="G14" s="4" t="s">
        <v>200</v>
      </c>
      <c r="H14" s="4" t="s">
        <v>200</v>
      </c>
      <c r="I14" s="4" t="s">
        <v>200</v>
      </c>
    </row>
    <row r="16" spans="1:9" x14ac:dyDescent="0.3">
      <c r="A16" t="s">
        <v>386</v>
      </c>
      <c r="B16" t="s">
        <v>349</v>
      </c>
      <c r="C16" s="2" t="s">
        <v>441</v>
      </c>
      <c r="D16" s="3" t="s">
        <v>443</v>
      </c>
      <c r="E16" s="2" t="s">
        <v>442</v>
      </c>
      <c r="F16" s="3" t="s">
        <v>444</v>
      </c>
      <c r="G16" s="1" t="s">
        <v>445</v>
      </c>
      <c r="H16" s="1" t="s">
        <v>446</v>
      </c>
      <c r="I16" s="1" t="s">
        <v>447</v>
      </c>
    </row>
    <row r="17" spans="1:9" x14ac:dyDescent="0.3">
      <c r="A17" t="s">
        <v>387</v>
      </c>
      <c r="B17" t="s">
        <v>388</v>
      </c>
      <c r="C17" t="s">
        <v>389</v>
      </c>
      <c r="D17" s="5" t="s">
        <v>390</v>
      </c>
      <c r="E17" s="23">
        <v>3.29</v>
      </c>
      <c r="F17" t="s">
        <v>391</v>
      </c>
      <c r="G17" t="s">
        <v>392</v>
      </c>
      <c r="H17" t="s">
        <v>393</v>
      </c>
      <c r="I17" t="s">
        <v>393</v>
      </c>
    </row>
    <row r="18" spans="1:9" x14ac:dyDescent="0.3">
      <c r="A18" t="s">
        <v>394</v>
      </c>
      <c r="B18" t="s">
        <v>395</v>
      </c>
      <c r="C18" t="s">
        <v>396</v>
      </c>
      <c r="D18" s="26" t="s">
        <v>397</v>
      </c>
      <c r="E18" s="26" t="s">
        <v>397</v>
      </c>
      <c r="F18" t="s">
        <v>397</v>
      </c>
      <c r="G18" t="s">
        <v>397</v>
      </c>
      <c r="H18" t="s">
        <v>397</v>
      </c>
      <c r="I18" t="s">
        <v>397</v>
      </c>
    </row>
    <row r="19" spans="1:9" x14ac:dyDescent="0.3">
      <c r="A19" t="s">
        <v>398</v>
      </c>
      <c r="B19" t="s">
        <v>399</v>
      </c>
      <c r="C19" t="s">
        <v>400</v>
      </c>
      <c r="D19" s="26" t="s">
        <v>371</v>
      </c>
      <c r="E19" s="26" t="s">
        <v>371</v>
      </c>
      <c r="F19" t="s">
        <v>371</v>
      </c>
      <c r="G19" t="s">
        <v>371</v>
      </c>
      <c r="H19" t="s">
        <v>371</v>
      </c>
      <c r="I19" t="s">
        <v>371</v>
      </c>
    </row>
    <row r="20" spans="1:9" x14ac:dyDescent="0.3">
      <c r="A20" t="s">
        <v>401</v>
      </c>
      <c r="B20" t="s">
        <v>402</v>
      </c>
      <c r="C20" t="s">
        <v>403</v>
      </c>
      <c r="D20" s="26" t="s">
        <v>371</v>
      </c>
      <c r="E20" s="26" t="s">
        <v>371</v>
      </c>
      <c r="F20" t="s">
        <v>371</v>
      </c>
      <c r="G20" t="s">
        <v>371</v>
      </c>
      <c r="H20" t="s">
        <v>371</v>
      </c>
      <c r="I20" t="s">
        <v>371</v>
      </c>
    </row>
    <row r="22" spans="1:9" x14ac:dyDescent="0.3">
      <c r="A22" t="s">
        <v>404</v>
      </c>
      <c r="B22" t="s">
        <v>405</v>
      </c>
    </row>
    <row r="23" spans="1:9" x14ac:dyDescent="0.3">
      <c r="A23" t="s">
        <v>406</v>
      </c>
      <c r="B23" t="s">
        <v>407</v>
      </c>
    </row>
  </sheetData>
  <pageMargins left="0.7" right="0.7" top="0.75" bottom="0.75" header="0.3" footer="0.3"/>
  <ignoredErrors>
    <ignoredError sqref="A1:H1 A3:D3 A2:B2 A13:H13 A10:B10 A19:H23 A16:B16 A9:H9 A7:C7 A8:C8 A11:D11 F11:H11 A6:D6 B4:D4 F4:H4 B5:D5 F5:H5 F6:H6 B12:H12 A15:H15 B14:H14 A17 C17:D17 F17:H17 F3:H3 B18:H18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5"/>
  <sheetViews>
    <sheetView zoomScale="130" zoomScaleNormal="130" workbookViewId="0">
      <selection activeCell="B42" sqref="B42"/>
    </sheetView>
  </sheetViews>
  <sheetFormatPr baseColWidth="10" defaultRowHeight="15.6" x14ac:dyDescent="0.3"/>
  <cols>
    <col min="1" max="1" width="35" customWidth="1"/>
    <col min="2" max="2" width="45" customWidth="1"/>
    <col min="3" max="8" width="23.296875" customWidth="1"/>
  </cols>
  <sheetData>
    <row r="1" spans="1:9" x14ac:dyDescent="0.3">
      <c r="A1" t="s">
        <v>408</v>
      </c>
    </row>
    <row r="2" spans="1:9" x14ac:dyDescent="0.3">
      <c r="A2" s="1" t="s">
        <v>409</v>
      </c>
      <c r="B2" t="s">
        <v>410</v>
      </c>
      <c r="C2" s="2" t="s">
        <v>441</v>
      </c>
      <c r="D2" s="3" t="s">
        <v>443</v>
      </c>
      <c r="E2" s="2" t="s">
        <v>442</v>
      </c>
      <c r="F2" s="3" t="s">
        <v>444</v>
      </c>
      <c r="G2" s="1" t="s">
        <v>445</v>
      </c>
      <c r="H2" s="1" t="s">
        <v>446</v>
      </c>
      <c r="I2" s="1" t="s">
        <v>447</v>
      </c>
    </row>
    <row r="3" spans="1:9" x14ac:dyDescent="0.3">
      <c r="A3" t="s">
        <v>411</v>
      </c>
      <c r="B3" t="s">
        <v>412</v>
      </c>
      <c r="C3" t="s">
        <v>413</v>
      </c>
      <c r="D3" t="s">
        <v>371</v>
      </c>
      <c r="E3" s="5" t="s">
        <v>371</v>
      </c>
      <c r="F3" t="s">
        <v>371</v>
      </c>
      <c r="G3" t="s">
        <v>371</v>
      </c>
      <c r="H3" t="s">
        <v>371</v>
      </c>
      <c r="I3" t="s">
        <v>371</v>
      </c>
    </row>
    <row r="4" spans="1:9" x14ac:dyDescent="0.3">
      <c r="A4" t="s">
        <v>414</v>
      </c>
      <c r="B4" t="s">
        <v>415</v>
      </c>
      <c r="C4" t="s">
        <v>416</v>
      </c>
      <c r="D4" t="s">
        <v>371</v>
      </c>
      <c r="E4" s="5" t="s">
        <v>371</v>
      </c>
      <c r="F4" t="s">
        <v>371</v>
      </c>
      <c r="G4" t="s">
        <v>371</v>
      </c>
      <c r="H4" t="s">
        <v>371</v>
      </c>
      <c r="I4" t="s">
        <v>371</v>
      </c>
    </row>
    <row r="5" spans="1:9" x14ac:dyDescent="0.3">
      <c r="A5" t="s">
        <v>417</v>
      </c>
      <c r="B5" t="s">
        <v>418</v>
      </c>
      <c r="C5" t="s">
        <v>419</v>
      </c>
      <c r="D5" t="s">
        <v>371</v>
      </c>
      <c r="E5" s="5" t="s">
        <v>371</v>
      </c>
      <c r="F5" t="s">
        <v>371</v>
      </c>
      <c r="G5" t="s">
        <v>371</v>
      </c>
      <c r="H5" t="s">
        <v>371</v>
      </c>
      <c r="I5" t="s">
        <v>371</v>
      </c>
    </row>
    <row r="6" spans="1:9" x14ac:dyDescent="0.3">
      <c r="A6" t="s">
        <v>378</v>
      </c>
      <c r="B6" t="s">
        <v>420</v>
      </c>
      <c r="C6" t="s">
        <v>421</v>
      </c>
      <c r="D6" t="s">
        <v>371</v>
      </c>
      <c r="E6" s="5" t="s">
        <v>371</v>
      </c>
      <c r="F6" t="s">
        <v>371</v>
      </c>
      <c r="G6" t="s">
        <v>371</v>
      </c>
      <c r="H6" t="s">
        <v>371</v>
      </c>
      <c r="I6" t="s">
        <v>371</v>
      </c>
    </row>
    <row r="7" spans="1:9" x14ac:dyDescent="0.3">
      <c r="A7" t="s">
        <v>381</v>
      </c>
      <c r="B7" t="s">
        <v>422</v>
      </c>
      <c r="C7" t="s">
        <v>423</v>
      </c>
      <c r="D7" t="s">
        <v>371</v>
      </c>
      <c r="E7" s="5" t="s">
        <v>371</v>
      </c>
      <c r="F7" t="s">
        <v>371</v>
      </c>
      <c r="G7" t="s">
        <v>371</v>
      </c>
      <c r="H7" t="s">
        <v>371</v>
      </c>
      <c r="I7" t="s">
        <v>371</v>
      </c>
    </row>
    <row r="8" spans="1:9" x14ac:dyDescent="0.3">
      <c r="A8" t="s">
        <v>424</v>
      </c>
      <c r="B8" t="s">
        <v>425</v>
      </c>
      <c r="C8" t="s">
        <v>426</v>
      </c>
      <c r="D8" t="s">
        <v>371</v>
      </c>
      <c r="E8" s="5" t="s">
        <v>371</v>
      </c>
      <c r="F8" t="s">
        <v>371</v>
      </c>
      <c r="G8" t="s">
        <v>371</v>
      </c>
      <c r="H8" t="s">
        <v>371</v>
      </c>
      <c r="I8" t="s">
        <v>371</v>
      </c>
    </row>
    <row r="10" spans="1:9" x14ac:dyDescent="0.3">
      <c r="A10" s="1" t="s">
        <v>427</v>
      </c>
    </row>
    <row r="11" spans="1:9" x14ac:dyDescent="0.3">
      <c r="A11" t="s">
        <v>428</v>
      </c>
      <c r="B11" t="s">
        <v>429</v>
      </c>
      <c r="C11" t="s">
        <v>426</v>
      </c>
      <c r="D11" t="s">
        <v>371</v>
      </c>
      <c r="E11" s="5" t="s">
        <v>371</v>
      </c>
      <c r="F11" t="s">
        <v>371</v>
      </c>
      <c r="G11" t="s">
        <v>371</v>
      </c>
      <c r="H11" t="s">
        <v>371</v>
      </c>
      <c r="I11" t="s">
        <v>371</v>
      </c>
    </row>
    <row r="12" spans="1:9" x14ac:dyDescent="0.3">
      <c r="A12" t="s">
        <v>430</v>
      </c>
      <c r="B12" t="s">
        <v>431</v>
      </c>
      <c r="C12" t="s">
        <v>169</v>
      </c>
      <c r="D12" t="s">
        <v>371</v>
      </c>
      <c r="E12" s="5" t="s">
        <v>371</v>
      </c>
      <c r="F12" t="s">
        <v>371</v>
      </c>
      <c r="G12" t="s">
        <v>371</v>
      </c>
      <c r="H12" t="s">
        <v>371</v>
      </c>
      <c r="I12" t="s">
        <v>371</v>
      </c>
    </row>
    <row r="13" spans="1:9" x14ac:dyDescent="0.3">
      <c r="A13" t="s">
        <v>432</v>
      </c>
      <c r="B13" t="s">
        <v>433</v>
      </c>
      <c r="C13" t="s">
        <v>434</v>
      </c>
      <c r="D13" t="s">
        <v>371</v>
      </c>
      <c r="E13" s="5" t="s">
        <v>371</v>
      </c>
      <c r="F13" t="s">
        <v>371</v>
      </c>
      <c r="G13" t="s">
        <v>371</v>
      </c>
      <c r="H13" t="s">
        <v>371</v>
      </c>
      <c r="I13" t="s">
        <v>371</v>
      </c>
    </row>
    <row r="14" spans="1:9" x14ac:dyDescent="0.3">
      <c r="A14" t="s">
        <v>435</v>
      </c>
      <c r="B14" t="s">
        <v>436</v>
      </c>
      <c r="C14" t="s">
        <v>437</v>
      </c>
      <c r="D14" t="s">
        <v>371</v>
      </c>
      <c r="E14" s="5" t="s">
        <v>371</v>
      </c>
      <c r="F14" t="s">
        <v>371</v>
      </c>
      <c r="G14" t="s">
        <v>371</v>
      </c>
      <c r="H14" t="s">
        <v>371</v>
      </c>
      <c r="I14" t="s">
        <v>371</v>
      </c>
    </row>
    <row r="15" spans="1:9" x14ac:dyDescent="0.3">
      <c r="A15" t="s">
        <v>438</v>
      </c>
      <c r="B15" t="s">
        <v>439</v>
      </c>
      <c r="C15" t="s">
        <v>440</v>
      </c>
      <c r="D15" t="s">
        <v>371</v>
      </c>
      <c r="E15" s="5" t="s">
        <v>371</v>
      </c>
      <c r="F15" t="s">
        <v>371</v>
      </c>
      <c r="G15" t="s">
        <v>371</v>
      </c>
      <c r="H15" t="s">
        <v>371</v>
      </c>
      <c r="I15" t="s">
        <v>371</v>
      </c>
    </row>
  </sheetData>
  <pageMargins left="0.7" right="0.7" top="0.75" bottom="0.75" header="0.3" footer="0.3"/>
  <ignoredErrors>
    <ignoredError sqref="A1:H1 A3:H15 A2:B2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INSTRUCCIONES</vt:lpstr>
      <vt:lpstr>DATOS_GENERALES</vt:lpstr>
      <vt:lpstr>ESPECIFICACIONES</vt:lpstr>
      <vt:lpstr>SENSORES</vt:lpstr>
      <vt:lpstr>ZONAS_ESTABILIDAD</vt:lpstr>
      <vt:lpstr>PERFIL_SVG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Camila Fernández</dc:creator>
  <cp:lastModifiedBy>StarMedia</cp:lastModifiedBy>
  <dcterms:created xsi:type="dcterms:W3CDTF">2026-06-08T16:03:56Z</dcterms:created>
  <dcterms:modified xsi:type="dcterms:W3CDTF">2026-06-08T16:21:17Z</dcterms:modified>
</cp:coreProperties>
</file>